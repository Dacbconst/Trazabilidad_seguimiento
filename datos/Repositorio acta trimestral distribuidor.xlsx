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AntonioConstant\Desktop\TrazabilidadSeguimiento\datos\"/>
    </mc:Choice>
  </mc:AlternateContent>
  <xr:revisionPtr revIDLastSave="0" documentId="13_ncr:1_{3DBFD7BD-2AAB-41D1-9BAE-A2631023AE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OTAS POR CAT -DISTRIBUIDORES" sheetId="1" r:id="rId1"/>
    <sheet name="CUOTA TOTAL" sheetId="2" r:id="rId2"/>
    <sheet name="VISIBILIDAD (2)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4" i="3" l="1"/>
  <c r="J4" i="3"/>
  <c r="H4" i="3"/>
  <c r="G4" i="3"/>
  <c r="F4" i="3"/>
  <c r="E4" i="3"/>
  <c r="D4" i="3"/>
  <c r="Q3" i="3"/>
  <c r="Q4" i="3" s="1"/>
  <c r="P3" i="3"/>
  <c r="P4" i="3" s="1"/>
  <c r="O3" i="3"/>
  <c r="O4" i="3" s="1"/>
  <c r="K3" i="3"/>
  <c r="J3" i="3"/>
  <c r="I3" i="3"/>
  <c r="I4" i="3" s="1"/>
  <c r="H3" i="3"/>
  <c r="G3" i="3"/>
  <c r="D4" i="2"/>
  <c r="E4" i="2" s="1"/>
  <c r="F4" i="2" s="1"/>
  <c r="C4" i="2"/>
  <c r="U6" i="1"/>
  <c r="V6" i="1" s="1"/>
  <c r="T6" i="1"/>
  <c r="P6" i="1"/>
  <c r="O6" i="1"/>
  <c r="M6" i="1"/>
  <c r="I6" i="1"/>
  <c r="T5" i="1"/>
  <c r="U5" i="1" s="1"/>
  <c r="V5" i="1" s="1"/>
  <c r="M5" i="1"/>
  <c r="P5" i="1" s="1"/>
  <c r="I5" i="1"/>
  <c r="T4" i="1"/>
  <c r="U4" i="1" s="1"/>
  <c r="V4" i="1" s="1"/>
  <c r="M4" i="1"/>
  <c r="O4" i="1" s="1"/>
  <c r="I4" i="1"/>
  <c r="T3" i="1"/>
  <c r="U3" i="1" s="1"/>
  <c r="V3" i="1" s="1"/>
  <c r="M3" i="1"/>
  <c r="P3" i="1" s="1"/>
  <c r="I3" i="1"/>
  <c r="W3" i="1" l="1"/>
  <c r="X3" i="1" s="1"/>
  <c r="Y3" i="1" s="1"/>
  <c r="W4" i="1"/>
  <c r="X4" i="1" s="1"/>
  <c r="Y4" i="1" s="1"/>
  <c r="W5" i="1"/>
  <c r="X5" i="1" s="1"/>
  <c r="Y5" i="1" s="1"/>
  <c r="W6" i="1"/>
  <c r="X6" i="1" s="1"/>
  <c r="Y6" i="1" s="1"/>
  <c r="O3" i="1"/>
  <c r="R3" i="3"/>
  <c r="R4" i="3" s="1"/>
  <c r="P4" i="1"/>
  <c r="O5" i="1"/>
</calcChain>
</file>

<file path=xl/sharedStrings.xml><?xml version="1.0" encoding="utf-8"?>
<sst xmlns="http://schemas.openxmlformats.org/spreadsheetml/2006/main" count="134" uniqueCount="53">
  <si>
    <t/>
  </si>
  <si>
    <t>CUOTAS Q1 2026</t>
  </si>
  <si>
    <t>VENTA Q1 2026</t>
  </si>
  <si>
    <t>DISTRIBUIDOR</t>
  </si>
  <si>
    <t>CIUDAD</t>
  </si>
  <si>
    <t>NOMBRE</t>
  </si>
  <si>
    <t>CODIGO</t>
  </si>
  <si>
    <t>RUC</t>
  </si>
  <si>
    <t>CATEGORIA</t>
  </si>
  <si>
    <t>SUBCATEGORIA</t>
  </si>
  <si>
    <t>MARCA</t>
  </si>
  <si>
    <t>CONCAT 1</t>
  </si>
  <si>
    <t>ENERO</t>
  </si>
  <si>
    <t>FEBRERO</t>
  </si>
  <si>
    <t>MARZO</t>
  </si>
  <si>
    <t>CUOTA Q1</t>
  </si>
  <si>
    <t>REBATE</t>
  </si>
  <si>
    <t>REBATE $</t>
  </si>
  <si>
    <t>REBATE MAXIMO 110%</t>
  </si>
  <si>
    <t>TOTAL VENTA Q1</t>
  </si>
  <si>
    <t>CUMPLIMIENTO</t>
  </si>
  <si>
    <t>GANA POR CATEGORÍA</t>
  </si>
  <si>
    <t>GANA TOTAL Q</t>
  </si>
  <si>
    <t>PRE REBATE</t>
  </si>
  <si>
    <t>REBATE REAL VOL</t>
  </si>
  <si>
    <t>NOVEDADES</t>
  </si>
  <si>
    <t>ASERTIA COMERCIAL SA</t>
  </si>
  <si>
    <t>GUAYAQUIL</t>
  </si>
  <si>
    <t>ACOSTA HERNANDEZ SANTO AURELIO</t>
  </si>
  <si>
    <t>BARRA</t>
  </si>
  <si>
    <t>LAVAVAJILLAS</t>
  </si>
  <si>
    <t>EL ARRANCAGRASA</t>
  </si>
  <si>
    <t>CREMA</t>
  </si>
  <si>
    <t>LAVA</t>
  </si>
  <si>
    <t>LIQUIDO</t>
  </si>
  <si>
    <t>JABON TOCADOR</t>
  </si>
  <si>
    <t>MISTY</t>
  </si>
  <si>
    <t>DESINFECTANTES</t>
  </si>
  <si>
    <t>GOL</t>
  </si>
  <si>
    <t>Suma de CUOTA Q1</t>
  </si>
  <si>
    <t>Suma de TOTAL VENTA Q1</t>
  </si>
  <si>
    <t>Cumplimiento</t>
  </si>
  <si>
    <t>Gana</t>
  </si>
  <si>
    <t>CANTIDAD</t>
  </si>
  <si>
    <t>PAGO</t>
  </si>
  <si>
    <t>VALIDACIÓN</t>
  </si>
  <si>
    <t>PAGO (CAJAS)</t>
  </si>
  <si>
    <t>CABECERA</t>
  </si>
  <si>
    <t>ISLA</t>
  </si>
  <si>
    <t>PERCHA</t>
  </si>
  <si>
    <t>TOTAL</t>
  </si>
  <si>
    <t>OBSERVACIONES</t>
  </si>
  <si>
    <t>914908629001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</si>
</sst>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$&quot;* #,##0.00_ ;_ &quot;$&quot;* \-#,##0.00_ ;_ &quot;$&quot;* &quot;-&quot;??_ ;_ @_ "/>
  </numFmts>
  <fonts count="6" x14ac:knownFonts="1">
    <font>
      <sz val="11"/>
      <name val="Calibri"/>
    </font>
    <font>
      <b/>
      <sz val="11"/>
      <color rgb="FFFFFFFF"/>
      <name val="Calibri"/>
    </font>
    <font>
      <sz val="11"/>
      <color rgb="FFFFFFFF"/>
      <name val="Calibri"/>
    </font>
    <font>
      <sz val="11"/>
      <color rgb="FF000000"/>
      <name val="Calibri"/>
    </font>
    <font>
      <b/>
      <sz val="11"/>
      <name val="Calibri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47474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2CEE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2" fillId="2" borderId="1" xfId="0" applyFont="1" applyFill="1" applyBorder="1"/>
    <xf numFmtId="0" fontId="2" fillId="3" borderId="1" xfId="0" applyFont="1" applyFill="1" applyBorder="1"/>
    <xf numFmtId="0" fontId="0" fillId="0" borderId="1" xfId="0" applyFont="1" applyFill="1" applyBorder="1"/>
    <xf numFmtId="0" fontId="3" fillId="4" borderId="1" xfId="0" applyFont="1" applyFill="1" applyBorder="1"/>
    <xf numFmtId="44" fontId="0" fillId="0" borderId="1" xfId="0" applyNumberFormat="1" applyFont="1" applyFill="1" applyBorder="1"/>
    <xf numFmtId="10" fontId="0" fillId="0" borderId="1" xfId="0" applyNumberFormat="1" applyFont="1" applyFill="1" applyBorder="1"/>
    <xf numFmtId="0" fontId="4" fillId="0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0" fillId="0" borderId="0" xfId="0"/>
    <xf numFmtId="0" fontId="1" fillId="3" borderId="1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9" fontId="5" fillId="0" borderId="1" xfId="0" applyNumberFormat="1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"/>
  <sheetViews>
    <sheetView tabSelected="1" workbookViewId="0">
      <selection activeCell="G10" sqref="G10"/>
    </sheetView>
  </sheetViews>
  <sheetFormatPr baseColWidth="10" defaultRowHeight="14.4" x14ac:dyDescent="0.3"/>
  <cols>
    <col min="1" max="1" width="22" customWidth="1"/>
    <col min="2" max="2" width="11" customWidth="1"/>
    <col min="3" max="3" width="32" customWidth="1"/>
    <col min="4" max="4" width="8" customWidth="1"/>
    <col min="5" max="5" width="13.77734375" customWidth="1"/>
    <col min="6" max="6" width="11" customWidth="1"/>
    <col min="7" max="7" width="16" customWidth="1"/>
    <col min="8" max="8" width="17" customWidth="1"/>
    <col min="9" max="9" width="13" customWidth="1"/>
    <col min="10" max="10" width="16" customWidth="1"/>
    <col min="11" max="11" width="14" customWidth="1"/>
    <col min="12" max="12" width="13" customWidth="1"/>
    <col min="13" max="13" width="15" customWidth="1"/>
    <col min="14" max="14" width="8" customWidth="1"/>
    <col min="15" max="15" width="15" customWidth="1"/>
    <col min="16" max="16" width="20" customWidth="1"/>
    <col min="17" max="17" width="15" customWidth="1"/>
    <col min="18" max="18" width="9" customWidth="1"/>
    <col min="19" max="19" width="8" customWidth="1"/>
    <col min="20" max="20" width="16" customWidth="1"/>
    <col min="21" max="21" width="14" customWidth="1"/>
    <col min="22" max="22" width="20" customWidth="1"/>
    <col min="23" max="23" width="14" customWidth="1"/>
    <col min="24" max="24" width="15" customWidth="1"/>
    <col min="25" max="25" width="17" customWidth="1"/>
    <col min="26" max="26" width="11" customWidth="1"/>
  </cols>
  <sheetData>
    <row r="1" spans="1:26" x14ac:dyDescent="0.3">
      <c r="A1" s="3" t="s">
        <v>0</v>
      </c>
      <c r="B1" s="3" t="s">
        <v>0</v>
      </c>
      <c r="C1" s="3" t="s">
        <v>0</v>
      </c>
      <c r="D1" s="3" t="s">
        <v>0</v>
      </c>
      <c r="E1" s="3" t="s">
        <v>0</v>
      </c>
      <c r="F1" s="3" t="s">
        <v>0</v>
      </c>
      <c r="G1" s="3" t="s">
        <v>0</v>
      </c>
      <c r="H1" s="3" t="s">
        <v>0</v>
      </c>
      <c r="I1" s="3" t="s">
        <v>0</v>
      </c>
      <c r="J1" s="12" t="s">
        <v>1</v>
      </c>
      <c r="K1" s="13"/>
      <c r="L1" s="13"/>
      <c r="M1" s="3" t="s">
        <v>0</v>
      </c>
      <c r="N1" s="3" t="s">
        <v>0</v>
      </c>
      <c r="O1" s="3" t="s">
        <v>0</v>
      </c>
      <c r="P1" s="3" t="s">
        <v>0</v>
      </c>
      <c r="Q1" s="14" t="s">
        <v>2</v>
      </c>
      <c r="R1" s="13"/>
      <c r="S1" s="13"/>
      <c r="T1" s="13"/>
      <c r="U1" s="4" t="s">
        <v>0</v>
      </c>
      <c r="V1" s="4" t="s">
        <v>0</v>
      </c>
      <c r="W1" s="4" t="s">
        <v>0</v>
      </c>
      <c r="X1" s="4" t="s">
        <v>0</v>
      </c>
      <c r="Y1" s="4" t="s">
        <v>0</v>
      </c>
      <c r="Z1" s="4" t="s">
        <v>0</v>
      </c>
    </row>
    <row r="2" spans="1:26" x14ac:dyDescent="0.3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16</v>
      </c>
      <c r="O2" s="1" t="s">
        <v>17</v>
      </c>
      <c r="P2" s="1" t="s">
        <v>18</v>
      </c>
      <c r="Q2" s="2" t="s">
        <v>12</v>
      </c>
      <c r="R2" s="2" t="s">
        <v>13</v>
      </c>
      <c r="S2" s="2" t="s">
        <v>14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</row>
    <row r="3" spans="1:26" x14ac:dyDescent="0.3">
      <c r="A3" s="5" t="s">
        <v>26</v>
      </c>
      <c r="B3" s="5" t="s">
        <v>27</v>
      </c>
      <c r="C3" s="6" t="s">
        <v>28</v>
      </c>
      <c r="D3" s="17" t="s">
        <v>52</v>
      </c>
      <c r="E3" s="18">
        <v>914908629001</v>
      </c>
      <c r="F3" s="5" t="s">
        <v>29</v>
      </c>
      <c r="G3" s="5" t="s">
        <v>30</v>
      </c>
      <c r="H3" s="5" t="s">
        <v>31</v>
      </c>
      <c r="I3" s="5" t="str">
        <f>CONCATENATE(C3,F3)</f>
        <v>ACOSTA HERNANDEZ SANTO AURELIOBARRA</v>
      </c>
      <c r="J3" s="7">
        <v>252</v>
      </c>
      <c r="K3" s="7">
        <v>747</v>
      </c>
      <c r="L3" s="7">
        <v>470</v>
      </c>
      <c r="M3" s="7">
        <f>SUM(J3:L3)</f>
        <v>1469</v>
      </c>
      <c r="N3" s="8">
        <v>0</v>
      </c>
      <c r="O3" s="7">
        <f>M3*N3</f>
        <v>0</v>
      </c>
      <c r="P3" s="7">
        <f>(M3*1.1)*N3</f>
        <v>0</v>
      </c>
      <c r="Q3" s="5" t="s">
        <v>0</v>
      </c>
      <c r="R3" s="5" t="s">
        <v>0</v>
      </c>
      <c r="S3" s="5" t="s">
        <v>0</v>
      </c>
      <c r="T3" s="7">
        <f>SUM(Q3:S3)</f>
        <v>0</v>
      </c>
      <c r="U3" s="8">
        <f>IFERROR(T3/M3,0)</f>
        <v>0</v>
      </c>
      <c r="V3" s="5" t="str">
        <f>IF(U3&gt;=80%,"GANA","NO GANA")</f>
        <v>NO GANA</v>
      </c>
      <c r="W3" s="5" t="str">
        <f>VLOOKUP(C3,'CUOTA TOTAL'!$B$4:$F$4,5,FALSE)</f>
        <v>NO GANA</v>
      </c>
      <c r="X3" s="7">
        <f>IF(AND(W3="GANA",V3="GANA"),T3*N3,0)</f>
        <v>0</v>
      </c>
      <c r="Y3" s="7">
        <f>IF(X3&lt;=P3,X3,P3)</f>
        <v>0</v>
      </c>
      <c r="Z3" s="5" t="s">
        <v>0</v>
      </c>
    </row>
    <row r="4" spans="1:26" x14ac:dyDescent="0.3">
      <c r="A4" s="5" t="s">
        <v>26</v>
      </c>
      <c r="B4" s="5" t="s">
        <v>27</v>
      </c>
      <c r="C4" s="6" t="s">
        <v>28</v>
      </c>
      <c r="D4" s="17" t="s">
        <v>52</v>
      </c>
      <c r="E4" s="18">
        <v>914908629001</v>
      </c>
      <c r="F4" s="5" t="s">
        <v>32</v>
      </c>
      <c r="G4" s="5" t="s">
        <v>30</v>
      </c>
      <c r="H4" s="5" t="s">
        <v>33</v>
      </c>
      <c r="I4" s="5" t="str">
        <f>CONCATENATE(C4,F4)</f>
        <v>ACOSTA HERNANDEZ SANTO AURELIOCREMA</v>
      </c>
      <c r="J4" s="7">
        <v>25</v>
      </c>
      <c r="K4" s="7">
        <v>525</v>
      </c>
      <c r="L4" s="7">
        <v>252</v>
      </c>
      <c r="M4" s="7">
        <f>SUM(J4:L4)</f>
        <v>802</v>
      </c>
      <c r="N4" s="8">
        <v>2.5000000000000001E-2</v>
      </c>
      <c r="O4" s="7">
        <f>M4*N4</f>
        <v>20.05</v>
      </c>
      <c r="P4" s="7">
        <f>(M4*1.1)*N4</f>
        <v>22.055000000000003</v>
      </c>
      <c r="Q4" s="5" t="s">
        <v>0</v>
      </c>
      <c r="R4" s="5" t="s">
        <v>0</v>
      </c>
      <c r="S4" s="5" t="s">
        <v>0</v>
      </c>
      <c r="T4" s="7">
        <f>SUM(Q4:S4)</f>
        <v>0</v>
      </c>
      <c r="U4" s="8">
        <f>IFERROR(T4/M4,0)</f>
        <v>0</v>
      </c>
      <c r="V4" s="5" t="str">
        <f>IF(U4&gt;=80%,"GANA","NO GANA")</f>
        <v>NO GANA</v>
      </c>
      <c r="W4" s="5" t="str">
        <f>VLOOKUP(C4,'CUOTA TOTAL'!$B$4:$F$4,5,FALSE)</f>
        <v>NO GANA</v>
      </c>
      <c r="X4" s="7">
        <f>IF(AND(W4="GANA",V4="GANA"),T4*N4,0)</f>
        <v>0</v>
      </c>
      <c r="Y4" s="7">
        <f>IF(X4&lt;=P4,X4,P4)</f>
        <v>0</v>
      </c>
      <c r="Z4" s="5" t="s">
        <v>0</v>
      </c>
    </row>
    <row r="5" spans="1:26" x14ac:dyDescent="0.3">
      <c r="A5" s="5" t="s">
        <v>26</v>
      </c>
      <c r="B5" s="5" t="s">
        <v>27</v>
      </c>
      <c r="C5" s="6" t="s">
        <v>28</v>
      </c>
      <c r="D5" s="17" t="s">
        <v>52</v>
      </c>
      <c r="E5" s="18">
        <v>914908629001</v>
      </c>
      <c r="F5" s="5" t="s">
        <v>34</v>
      </c>
      <c r="G5" s="5" t="s">
        <v>35</v>
      </c>
      <c r="H5" s="5" t="s">
        <v>36</v>
      </c>
      <c r="I5" s="5" t="str">
        <f>CONCATENATE(C5,F5)</f>
        <v>ACOSTA HERNANDEZ SANTO AURELIOLIQUIDO</v>
      </c>
      <c r="J5" s="7">
        <v>2525</v>
      </c>
      <c r="K5" s="7">
        <v>25225</v>
      </c>
      <c r="L5" s="7">
        <v>2525</v>
      </c>
      <c r="M5" s="7">
        <f>SUM(J5:L5)</f>
        <v>30275</v>
      </c>
      <c r="N5" s="8">
        <v>0.01</v>
      </c>
      <c r="O5" s="7">
        <f>M5*N5</f>
        <v>302.75</v>
      </c>
      <c r="P5" s="7">
        <f>(M5*1.1)*N5</f>
        <v>333.02500000000003</v>
      </c>
      <c r="Q5" s="5" t="s">
        <v>0</v>
      </c>
      <c r="R5" s="5" t="s">
        <v>0</v>
      </c>
      <c r="S5" s="5" t="s">
        <v>0</v>
      </c>
      <c r="T5" s="7">
        <f>SUM(Q5:S5)</f>
        <v>0</v>
      </c>
      <c r="U5" s="8">
        <f>IFERROR(T5/M5,0)</f>
        <v>0</v>
      </c>
      <c r="V5" s="5" t="str">
        <f>IF(U5&gt;=80%,"GANA","NO GANA")</f>
        <v>NO GANA</v>
      </c>
      <c r="W5" s="5" t="str">
        <f>VLOOKUP(C5,'CUOTA TOTAL'!$B$4:$F$4,5,FALSE)</f>
        <v>NO GANA</v>
      </c>
      <c r="X5" s="7">
        <f>IF(AND(W5="GANA",V5="GANA"),T5*N5,0)</f>
        <v>0</v>
      </c>
      <c r="Y5" s="7">
        <f>IF(X5&lt;=P5,X5,P5)</f>
        <v>0</v>
      </c>
      <c r="Z5" s="5" t="s">
        <v>0</v>
      </c>
    </row>
    <row r="6" spans="1:26" x14ac:dyDescent="0.3">
      <c r="A6" s="5" t="s">
        <v>26</v>
      </c>
      <c r="B6" s="5" t="s">
        <v>27</v>
      </c>
      <c r="C6" s="6" t="s">
        <v>28</v>
      </c>
      <c r="D6" s="17" t="s">
        <v>52</v>
      </c>
      <c r="E6" s="18">
        <v>914908629001</v>
      </c>
      <c r="F6" s="5" t="s">
        <v>34</v>
      </c>
      <c r="G6" s="5" t="s">
        <v>37</v>
      </c>
      <c r="H6" s="5" t="s">
        <v>38</v>
      </c>
      <c r="I6" s="5" t="str">
        <f>CONCATENATE(C6,F6)</f>
        <v>ACOSTA HERNANDEZ SANTO AURELIOLIQUIDO</v>
      </c>
      <c r="J6" s="7">
        <v>25</v>
      </c>
      <c r="K6" s="7">
        <v>74</v>
      </c>
      <c r="L6" s="7">
        <v>522</v>
      </c>
      <c r="M6" s="7">
        <f>SUM(J6:L6)</f>
        <v>621</v>
      </c>
      <c r="N6" s="8">
        <v>0.01</v>
      </c>
      <c r="O6" s="7">
        <f>M6*N6</f>
        <v>6.21</v>
      </c>
      <c r="P6" s="7">
        <f>(M6*1.1)*N6</f>
        <v>6.8310000000000004</v>
      </c>
      <c r="Q6" s="5" t="s">
        <v>0</v>
      </c>
      <c r="R6" s="5" t="s">
        <v>0</v>
      </c>
      <c r="S6" s="5" t="s">
        <v>0</v>
      </c>
      <c r="T6" s="7">
        <f>SUM(Q6:S6)</f>
        <v>0</v>
      </c>
      <c r="U6" s="8">
        <f>IFERROR(T6/M6,0)</f>
        <v>0</v>
      </c>
      <c r="V6" s="5" t="str">
        <f>IF(U6&gt;=80%,"GANA","NO GANA")</f>
        <v>NO GANA</v>
      </c>
      <c r="W6" s="5" t="str">
        <f>VLOOKUP(C6,'CUOTA TOTAL'!$B$4:$F$4,5,FALSE)</f>
        <v>NO GANA</v>
      </c>
      <c r="X6" s="7">
        <f>IF(AND(W6="GANA",V6="GANA"),T6*N6,0)</f>
        <v>0</v>
      </c>
      <c r="Y6" s="7">
        <f>IF(X6&lt;=P6,X6,P6)</f>
        <v>0</v>
      </c>
      <c r="Z6" s="5" t="s">
        <v>0</v>
      </c>
    </row>
  </sheetData>
  <mergeCells count="2">
    <mergeCell ref="J1:L1"/>
    <mergeCell ref="Q1:T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F4"/>
  <sheetViews>
    <sheetView workbookViewId="0"/>
  </sheetViews>
  <sheetFormatPr baseColWidth="10" defaultRowHeight="14.4" x14ac:dyDescent="0.3"/>
  <cols>
    <col min="1" max="1" width="22" customWidth="1"/>
    <col min="2" max="2" width="32" customWidth="1"/>
    <col min="3" max="3" width="18" customWidth="1"/>
    <col min="4" max="4" width="24" customWidth="1"/>
    <col min="5" max="5" width="14" customWidth="1"/>
    <col min="6" max="6" width="13" customWidth="1"/>
  </cols>
  <sheetData>
    <row r="3" spans="1:6" x14ac:dyDescent="0.3">
      <c r="A3" s="9" t="s">
        <v>3</v>
      </c>
      <c r="B3" s="9" t="s">
        <v>5</v>
      </c>
      <c r="C3" s="9" t="s">
        <v>39</v>
      </c>
      <c r="D3" s="9" t="s">
        <v>40</v>
      </c>
      <c r="E3" s="9" t="s">
        <v>41</v>
      </c>
      <c r="F3" s="9" t="s">
        <v>42</v>
      </c>
    </row>
    <row r="4" spans="1:6" x14ac:dyDescent="0.3">
      <c r="A4" s="5" t="s">
        <v>26</v>
      </c>
      <c r="B4" s="5" t="s">
        <v>28</v>
      </c>
      <c r="C4" s="7">
        <f>SUMIF('CUOTAS POR CAT -DISTRIBUIDORES'!$C$3:$C$6,B4,'CUOTAS POR CAT -DISTRIBUIDORES'!$M$3:$M$6)</f>
        <v>33167</v>
      </c>
      <c r="D4" s="7">
        <f>SUMIF('CUOTAS POR CAT -DISTRIBUIDORES'!$C$3:$C$6,B4,'CUOTAS POR CAT -DISTRIBUIDORES'!$T$3:$T$6)</f>
        <v>0</v>
      </c>
      <c r="E4" s="8">
        <f>IFERROR(D4/C4,0)</f>
        <v>0</v>
      </c>
      <c r="F4" s="5" t="str">
        <f>IF(E4&gt;=99.99%,"GANA","NO GANA")</f>
        <v>NO GANA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4"/>
  <sheetViews>
    <sheetView workbookViewId="0"/>
  </sheetViews>
  <sheetFormatPr baseColWidth="10" defaultRowHeight="14.4" x14ac:dyDescent="0.3"/>
  <cols>
    <col min="1" max="1" width="22" customWidth="1"/>
    <col min="2" max="2" width="11" customWidth="1"/>
    <col min="3" max="3" width="32" customWidth="1"/>
    <col min="4" max="11" width="13" customWidth="1"/>
    <col min="12" max="12" width="12" customWidth="1"/>
    <col min="13" max="14" width="8" customWidth="1"/>
    <col min="15" max="15" width="14" customWidth="1"/>
    <col min="16" max="18" width="13" customWidth="1"/>
    <col min="19" max="19" width="15" customWidth="1"/>
  </cols>
  <sheetData>
    <row r="1" spans="1:19" x14ac:dyDescent="0.3">
      <c r="A1" s="3" t="s">
        <v>0</v>
      </c>
      <c r="B1" s="3" t="s">
        <v>0</v>
      </c>
      <c r="C1" s="3" t="s">
        <v>0</v>
      </c>
      <c r="D1" s="15" t="s">
        <v>43</v>
      </c>
      <c r="E1" s="13"/>
      <c r="F1" s="13"/>
      <c r="G1" s="13"/>
      <c r="H1" s="15" t="s">
        <v>44</v>
      </c>
      <c r="I1" s="13"/>
      <c r="J1" s="13"/>
      <c r="K1" s="13"/>
      <c r="L1" s="16" t="s">
        <v>45</v>
      </c>
      <c r="M1" s="13"/>
      <c r="N1" s="13"/>
      <c r="O1" s="16" t="s">
        <v>46</v>
      </c>
      <c r="P1" s="13"/>
      <c r="Q1" s="13"/>
      <c r="R1" s="13"/>
      <c r="S1" s="4" t="s">
        <v>0</v>
      </c>
    </row>
    <row r="2" spans="1:19" x14ac:dyDescent="0.3">
      <c r="A2" s="10" t="s">
        <v>3</v>
      </c>
      <c r="B2" s="10" t="s">
        <v>4</v>
      </c>
      <c r="C2" s="10" t="s">
        <v>5</v>
      </c>
      <c r="D2" s="10" t="s">
        <v>47</v>
      </c>
      <c r="E2" s="10" t="s">
        <v>48</v>
      </c>
      <c r="F2" s="10" t="s">
        <v>49</v>
      </c>
      <c r="G2" s="10" t="s">
        <v>50</v>
      </c>
      <c r="H2" s="10" t="s">
        <v>47</v>
      </c>
      <c r="I2" s="10" t="s">
        <v>48</v>
      </c>
      <c r="J2" s="10" t="s">
        <v>49</v>
      </c>
      <c r="K2" s="10" t="s">
        <v>50</v>
      </c>
      <c r="L2" s="11" t="s">
        <v>47</v>
      </c>
      <c r="M2" s="11" t="s">
        <v>48</v>
      </c>
      <c r="N2" s="11" t="s">
        <v>49</v>
      </c>
      <c r="O2" s="11" t="s">
        <v>47</v>
      </c>
      <c r="P2" s="11" t="s">
        <v>48</v>
      </c>
      <c r="Q2" s="11" t="s">
        <v>49</v>
      </c>
      <c r="R2" s="11" t="s">
        <v>50</v>
      </c>
      <c r="S2" s="11" t="s">
        <v>51</v>
      </c>
    </row>
    <row r="3" spans="1:19" x14ac:dyDescent="0.3">
      <c r="A3" s="5" t="s">
        <v>26</v>
      </c>
      <c r="B3" s="5" t="s">
        <v>27</v>
      </c>
      <c r="C3" s="6" t="s">
        <v>28</v>
      </c>
      <c r="D3" s="5">
        <v>4</v>
      </c>
      <c r="E3" s="5">
        <v>4</v>
      </c>
      <c r="F3" s="5">
        <v>3</v>
      </c>
      <c r="G3" s="5">
        <f>D3+E3+F3</f>
        <v>11</v>
      </c>
      <c r="H3" s="5">
        <f>D3*6</f>
        <v>24</v>
      </c>
      <c r="I3" s="5">
        <f>E3*6</f>
        <v>24</v>
      </c>
      <c r="J3" s="5">
        <f>F3*6</f>
        <v>18</v>
      </c>
      <c r="K3" s="5">
        <f>H3+I3+J3</f>
        <v>66</v>
      </c>
      <c r="L3" s="5" t="s">
        <v>0</v>
      </c>
      <c r="M3" s="5" t="s">
        <v>0</v>
      </c>
      <c r="N3" s="5" t="s">
        <v>0</v>
      </c>
      <c r="O3" s="5">
        <f>IF(L3="CUMPLE",H3,0)</f>
        <v>0</v>
      </c>
      <c r="P3" s="5">
        <f>IF(M3="CUMPLE",I3,0)</f>
        <v>0</v>
      </c>
      <c r="Q3" s="5">
        <f>IF(N3="CUMPLE",J3,0)</f>
        <v>0</v>
      </c>
      <c r="R3" s="5">
        <f>SUM(O3:Q3)</f>
        <v>0</v>
      </c>
      <c r="S3" s="5" t="s">
        <v>0</v>
      </c>
    </row>
    <row r="4" spans="1:19" x14ac:dyDescent="0.3">
      <c r="C4" s="9" t="s">
        <v>50</v>
      </c>
      <c r="D4" s="9">
        <f t="shared" ref="D4:J4" si="0">SUM(D3:D3)</f>
        <v>4</v>
      </c>
      <c r="E4" s="9">
        <f t="shared" si="0"/>
        <v>4</v>
      </c>
      <c r="F4" s="9">
        <f t="shared" si="0"/>
        <v>3</v>
      </c>
      <c r="G4" s="9">
        <f t="shared" si="0"/>
        <v>11</v>
      </c>
      <c r="H4" s="9">
        <f t="shared" si="0"/>
        <v>24</v>
      </c>
      <c r="I4" s="9">
        <f t="shared" si="0"/>
        <v>24</v>
      </c>
      <c r="J4" s="9">
        <f t="shared" si="0"/>
        <v>18</v>
      </c>
      <c r="K4" s="9">
        <f>SUBTOTAL(9,K3:K3)</f>
        <v>66</v>
      </c>
      <c r="O4" s="9">
        <f>SUM(O3:O3)</f>
        <v>0</v>
      </c>
      <c r="P4" s="9">
        <f>SUM(P3:P3)</f>
        <v>0</v>
      </c>
      <c r="Q4" s="9">
        <f>SUM(Q3:Q3)</f>
        <v>0</v>
      </c>
      <c r="R4" s="9">
        <f>SUM(R3:R3)</f>
        <v>0</v>
      </c>
    </row>
  </sheetData>
  <mergeCells count="4">
    <mergeCell ref="D1:G1"/>
    <mergeCell ref="H1:K1"/>
    <mergeCell ref="L1:N1"/>
    <mergeCell ref="O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CUOTAS POR CAT -DISTRIBUIDORES</vt:lpstr>
      <vt:lpstr>CUOTA TOTAL</vt:lpstr>
      <vt:lpstr>VISIBILIDAD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Antonio Constante Benavides</dc:creator>
  <cp:lastModifiedBy>Diego Antonio Constante Benavides</cp:lastModifiedBy>
  <dcterms:created xsi:type="dcterms:W3CDTF">2026-09-16T14:01:37Z</dcterms:created>
  <dcterms:modified xsi:type="dcterms:W3CDTF">2026-09-16T14:05:54Z</dcterms:modified>
</cp:coreProperties>
</file>