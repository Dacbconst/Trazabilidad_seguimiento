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aman\Downloads\"/>
    </mc:Choice>
  </mc:AlternateContent>
  <xr:revisionPtr revIDLastSave="0" documentId="8_{5F010EBE-E057-445D-B360-56D71C8C2A31}" xr6:coauthVersionLast="47" xr6:coauthVersionMax="47" xr10:uidLastSave="{00000000-0000-0000-0000-000000000000}"/>
  <bookViews>
    <workbookView xWindow="-110" yWindow="-110" windowWidth="19420" windowHeight="11500" xr2:uid="{DD252D82-B800-4EB2-BB1E-CDAE1EE1FE73}"/>
  </bookViews>
  <sheets>
    <sheet name="SANTA ANITA DEL CARMEN ABAS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8" i="1" l="1"/>
  <c r="F51" i="1"/>
  <c r="F27" i="1"/>
  <c r="E27" i="1"/>
  <c r="D27" i="1"/>
  <c r="G26" i="1"/>
  <c r="I26" i="1" s="1"/>
  <c r="G25" i="1"/>
  <c r="I25" i="1" s="1"/>
  <c r="G24" i="1"/>
  <c r="I24" i="1" s="1"/>
  <c r="G23" i="1"/>
  <c r="I23" i="1" s="1"/>
  <c r="I27" i="1" s="1"/>
  <c r="G27" i="1" l="1"/>
</calcChain>
</file>

<file path=xl/sharedStrings.xml><?xml version="1.0" encoding="utf-8"?>
<sst xmlns="http://schemas.openxmlformats.org/spreadsheetml/2006/main" count="99" uniqueCount="71">
  <si>
    <t>ACUERDO COMERCIAL CANAL DISTRIBUIDORES</t>
  </si>
  <si>
    <t xml:space="preserve">Estimado(a) </t>
  </si>
  <si>
    <t>LOCALIDAD</t>
  </si>
  <si>
    <t>Fecha:</t>
  </si>
  <si>
    <t>SANTA ANITA DEL CARMEN ABASTOS Y CONFITE</t>
  </si>
  <si>
    <t>ASERTIA IBARRA</t>
  </si>
  <si>
    <t>De mis consideraciones:</t>
  </si>
  <si>
    <r>
      <rPr>
        <b/>
        <sz val="12"/>
        <color theme="1"/>
        <rFont val="Arial"/>
        <family val="2"/>
      </rPr>
      <t>JABONERÍA WILSON S.A.</t>
    </r>
    <r>
      <rPr>
        <sz val="12"/>
        <color theme="1"/>
        <rFont val="Arial"/>
        <family val="2"/>
      </rPr>
      <t xml:space="preserve"> y </t>
    </r>
    <r>
      <rPr>
        <b/>
        <sz val="12"/>
        <color theme="1"/>
        <rFont val="Arial"/>
        <family val="2"/>
      </rPr>
      <t>SANTA ANITA DEL CARMEN ABASTOS Y CONFITE</t>
    </r>
    <r>
      <rPr>
        <sz val="12"/>
        <color theme="1"/>
        <rFont val="Arial"/>
        <family val="2"/>
      </rPr>
      <t xml:space="preserve"> celebran el presente acuerdo de desarrollo de negocios.</t>
    </r>
  </si>
  <si>
    <t xml:space="preserve">Periodo del acuerdo: </t>
  </si>
  <si>
    <t>ABRIL MAYO JUNIO 2026</t>
  </si>
  <si>
    <t>1.  META DE COMPRAS EN CAJAS</t>
  </si>
  <si>
    <t>Dólares comprados por categoría sin considerar bonificación/descuentos.</t>
  </si>
  <si>
    <t>CATEGORIAS</t>
  </si>
  <si>
    <t>META EN CAJAS</t>
  </si>
  <si>
    <t>REBATE</t>
  </si>
  <si>
    <t>VALOR ESTIMADO A GANAR</t>
  </si>
  <si>
    <t>MES 1</t>
  </si>
  <si>
    <t>MES 2</t>
  </si>
  <si>
    <t>MES 3</t>
  </si>
  <si>
    <t>TOTAL PERÍODO</t>
  </si>
  <si>
    <t>Barra detergente EL MACHO</t>
  </si>
  <si>
    <t>Crema Lavavajillas LAVA</t>
  </si>
  <si>
    <t xml:space="preserve">Líquidos </t>
  </si>
  <si>
    <t>Polvo detergente GOL</t>
  </si>
  <si>
    <t>TOTAL</t>
  </si>
  <si>
    <t>Condiciones:</t>
  </si>
  <si>
    <t>a)  Cumplir con la meta del período en dólares netos al 100%.</t>
  </si>
  <si>
    <r>
      <t xml:space="preserve">b)  Para liquidación del rebate se debe considerar:
- Cumplir con el </t>
    </r>
    <r>
      <rPr>
        <sz val="12"/>
        <color rgb="FFFF0000"/>
        <rFont val="Arial"/>
        <family val="2"/>
      </rPr>
      <t>100%</t>
    </r>
    <r>
      <rPr>
        <sz val="12"/>
        <rFont val="Arial"/>
        <family val="2"/>
      </rPr>
      <t xml:space="preserve"> de la cuota total del período.
- Compra mínima del </t>
    </r>
    <r>
      <rPr>
        <sz val="12"/>
        <color rgb="FFFF0000"/>
        <rFont val="Arial"/>
        <family val="2"/>
      </rPr>
      <t>80%</t>
    </r>
    <r>
      <rPr>
        <sz val="12"/>
        <rFont val="Arial"/>
        <family val="2"/>
      </rPr>
      <t xml:space="preserve"> de la meta asignada en todas las categorías. No se reconocerá el pago del rebate de la categoría con cumplimientos por debajo del </t>
    </r>
    <r>
      <rPr>
        <sz val="12"/>
        <color rgb="FFFF0000"/>
        <rFont val="Arial"/>
        <family val="2"/>
      </rPr>
      <t>80%.</t>
    </r>
  </si>
  <si>
    <t>c)  Al final de cada mes no se deben mantener saldos vencidos de cartera.</t>
  </si>
  <si>
    <r>
      <t xml:space="preserve">d) Solo se cancelará hasta el </t>
    </r>
    <r>
      <rPr>
        <b/>
        <sz val="12"/>
        <color rgb="FFFF0000"/>
        <rFont val="Arial"/>
        <family val="2"/>
      </rPr>
      <t>110%</t>
    </r>
    <r>
      <rPr>
        <sz val="12"/>
        <rFont val="Arial"/>
        <family val="2"/>
      </rPr>
      <t xml:space="preserve"> de cumplimiento total y por categoría.</t>
    </r>
  </si>
  <si>
    <t>2. VISIBILIDAD</t>
  </si>
  <si>
    <t>2.a.  Extravisibilidad: Cabeceras</t>
  </si>
  <si>
    <t>Son prestaciones del cliente y por el cual se define un valor fijo a cancelar según el cuadro.
Se cancelará el valor acordado si, durante todo el período del acuerdo, se mantiene el o los espacios acordados. 
En el caso de desabastecimientos  y se incumple con el espacio acordado durante el lapso mínimo de 7 días, la bonificación total del mes no será cancelada.</t>
  </si>
  <si>
    <t>MARCA</t>
  </si>
  <si>
    <t>PARTCIPACION</t>
  </si>
  <si>
    <t>CANTIDAD</t>
  </si>
  <si>
    <t>PAGO MENSUAL</t>
  </si>
  <si>
    <t>PAGO TOTAL CAJAS</t>
  </si>
  <si>
    <t>CABECERA PÁGO X MES 2 cajas</t>
  </si>
  <si>
    <t>TOTAL TRIMESTRE</t>
  </si>
  <si>
    <t>LAVA</t>
  </si>
  <si>
    <t>GOL</t>
  </si>
  <si>
    <r>
      <t xml:space="preserve">2.b.  Espacio en percha &amp; Ruma:
</t>
    </r>
    <r>
      <rPr>
        <sz val="12"/>
        <color rgb="FF000000"/>
        <rFont val="Arial"/>
        <family val="2"/>
      </rPr>
      <t>Se cancelará el valor acordado si, durante todo el período del acuerdo, las categorías mantienen el espacio acordado. La participación se considerará por número de caras/display.
En el caso de desabastecimientos  y se incumple con el espacio acordado durante el lapso mínimo de 7 días, la bonificación total del mes no será cancelada.
El espacio debe estar demarcado con preciadores, polipasacalle, cenefas y cualquier otro elemento de visibilidad, durante el período del acuerdo.</t>
    </r>
  </si>
  <si>
    <t xml:space="preserve">PAGO TOTAL </t>
  </si>
  <si>
    <t>RUMAS PAGO X MES DEPENDE LA MARCA QUE SE ARMA LA RUMA</t>
  </si>
  <si>
    <t>VALOR RUMA X MARCA X MES</t>
  </si>
  <si>
    <t>LAVA(1)</t>
  </si>
  <si>
    <t>LIQUIDOS</t>
  </si>
  <si>
    <t>2 cajas</t>
  </si>
  <si>
    <t>PERCHAS</t>
  </si>
  <si>
    <t>PAGO X MES X PERCHA 2 cajas</t>
  </si>
  <si>
    <t>% DE PESO EN PERCHA A NEGOCIAR</t>
  </si>
  <si>
    <t>MAXIMO DE PERCHA</t>
  </si>
  <si>
    <t>PAGO TOTAL  CAJAS</t>
  </si>
  <si>
    <t>LAVA(2)</t>
  </si>
  <si>
    <t xml:space="preserve">GOL </t>
  </si>
  <si>
    <t>CONSIDERACIONES GENERALES</t>
  </si>
  <si>
    <t>Al cierre de cada mes, usted nos facilitará la información de su inventario.</t>
  </si>
  <si>
    <t>OBLIGATORIO</t>
  </si>
  <si>
    <t>La liquidación del acuerdo se realizará al finalizar el período. El pago total sera reconocido a través de producto.
El plazo para entregar el producto es hasta 2 meses luego de finalizar el período del acuerdo.</t>
  </si>
  <si>
    <t>Como constancia del presente convenio, firman de común acuerdo las partes.</t>
  </si>
  <si>
    <t>Desarrollador de Mercado</t>
  </si>
  <si>
    <t>Jefe  Comercial</t>
  </si>
  <si>
    <t>Nombre:</t>
  </si>
  <si>
    <t>JABONERÍA WILSON S.A.</t>
  </si>
  <si>
    <t>ACEPTACIÓN DEL PRESENTE CONVENIO POR PARTE DEL CLIENTE</t>
  </si>
  <si>
    <t>El CLIENTE declara expresamente que ha suscrito este Acuerdo a su entera satisfacción y entendimiento, de manera libre y voluntaria, por lo que nada tiene que reclamar sobre el contenido, la aplicación y/o ejecución del mismo.</t>
  </si>
  <si>
    <t>FIRMA DEL CLIENTE</t>
  </si>
  <si>
    <t xml:space="preserve">                                                        C.I.                                                                                                                                                </t>
  </si>
  <si>
    <t>RAZÓN SOCIAL:</t>
  </si>
  <si>
    <t>C.I.: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</si>
</sst>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0.0%"/>
    <numFmt numFmtId="165" formatCode="[$$-409]#,##0.00"/>
    <numFmt numFmtId="166" formatCode="[$$-409]#,##0"/>
    <numFmt numFmtId="167" formatCode="_ &quot;$&quot;* #,##0_ ;_ &quot;$&quot;* \-#,##0_ ;_ &quot;$&quot;* &quot;-&quot;??_ ;_ @_ "/>
    <numFmt numFmtId="168" formatCode="_ * #,##0_ ;_ * \-#,##0_ ;_ * &quot;-&quot;??_ ;_ @_ 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12"/>
      <color rgb="FF222222"/>
      <name val="Arial"/>
      <family val="2"/>
    </font>
    <font>
      <i/>
      <sz val="12"/>
      <color rgb="FF222222"/>
      <name val="Arial"/>
      <family val="2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7">
    <xf numFmtId="0" fontId="0" fillId="0" borderId="0" xfId="0"/>
    <xf numFmtId="0" fontId="3" fillId="2" borderId="0" xfId="3" applyFont="1" applyFill="1" applyAlignment="1">
      <alignment vertical="center"/>
    </xf>
    <xf numFmtId="0" fontId="3" fillId="2" borderId="0" xfId="3" applyFont="1" applyFill="1" applyAlignment="1">
      <alignment horizontal="left" vertical="center"/>
    </xf>
    <xf numFmtId="0" fontId="4" fillId="2" borderId="0" xfId="3" applyFont="1" applyFill="1" applyAlignment="1">
      <alignment horizontal="center" vertical="center"/>
    </xf>
    <xf numFmtId="0" fontId="5" fillId="2" borderId="0" xfId="4" applyFont="1" applyFill="1" applyAlignment="1">
      <alignment horizontal="center" vertical="center"/>
    </xf>
    <xf numFmtId="0" fontId="5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3" fillId="2" borderId="0" xfId="4" applyFont="1" applyFill="1" applyAlignment="1">
      <alignment horizontal="left" vertical="center"/>
    </xf>
    <xf numFmtId="0" fontId="3" fillId="2" borderId="0" xfId="4" applyFont="1" applyFill="1" applyAlignment="1">
      <alignment vertical="center"/>
    </xf>
    <xf numFmtId="0" fontId="7" fillId="2" borderId="0" xfId="4" applyFont="1" applyFill="1" applyAlignment="1">
      <alignment horizontal="left" vertical="center" wrapText="1"/>
    </xf>
    <xf numFmtId="0" fontId="6" fillId="2" borderId="0" xfId="3" applyFont="1" applyFill="1" applyAlignment="1">
      <alignment vertical="center" wrapText="1"/>
    </xf>
    <xf numFmtId="0" fontId="6" fillId="2" borderId="0" xfId="4" applyFont="1" applyFill="1" applyAlignment="1">
      <alignment horizontal="left" vertical="center"/>
    </xf>
    <xf numFmtId="0" fontId="3" fillId="2" borderId="1" xfId="4" applyFont="1" applyFill="1" applyBorder="1" applyAlignment="1">
      <alignment vertical="center"/>
    </xf>
    <xf numFmtId="0" fontId="3" fillId="2" borderId="1" xfId="3" applyFont="1" applyFill="1" applyBorder="1" applyAlignment="1">
      <alignment vertical="center"/>
    </xf>
    <xf numFmtId="0" fontId="6" fillId="2" borderId="0" xfId="3" applyFont="1" applyFill="1" applyAlignment="1">
      <alignment horizontal="left" vertical="center"/>
    </xf>
    <xf numFmtId="0" fontId="3" fillId="2" borderId="0" xfId="3" applyFont="1" applyFill="1" applyAlignment="1">
      <alignment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 wrapText="1"/>
    </xf>
    <xf numFmtId="0" fontId="6" fillId="2" borderId="7" xfId="3" applyFont="1" applyFill="1" applyBorder="1" applyAlignment="1">
      <alignment horizontal="center" vertical="center" wrapText="1"/>
    </xf>
    <xf numFmtId="0" fontId="6" fillId="2" borderId="8" xfId="3" applyFont="1" applyFill="1" applyBorder="1" applyAlignment="1">
      <alignment horizontal="center" vertical="center" wrapText="1"/>
    </xf>
    <xf numFmtId="0" fontId="6" fillId="2" borderId="9" xfId="3" applyFont="1" applyFill="1" applyBorder="1" applyAlignment="1">
      <alignment horizontal="center" vertical="center" wrapText="1"/>
    </xf>
    <xf numFmtId="17" fontId="6" fillId="2" borderId="10" xfId="3" applyNumberFormat="1" applyFont="1" applyFill="1" applyBorder="1" applyAlignment="1">
      <alignment horizontal="center" vertical="center" wrapText="1"/>
    </xf>
    <xf numFmtId="17" fontId="6" fillId="2" borderId="11" xfId="3" applyNumberFormat="1" applyFont="1" applyFill="1" applyBorder="1" applyAlignment="1">
      <alignment horizontal="center" vertical="center" wrapText="1"/>
    </xf>
    <xf numFmtId="17" fontId="6" fillId="2" borderId="12" xfId="3" applyNumberFormat="1" applyFont="1" applyFill="1" applyBorder="1" applyAlignment="1">
      <alignment horizontal="center" vertical="center" wrapText="1"/>
    </xf>
    <xf numFmtId="0" fontId="6" fillId="2" borderId="12" xfId="3" applyFont="1" applyFill="1" applyBorder="1" applyAlignment="1">
      <alignment horizontal="center" vertical="center" wrapText="1"/>
    </xf>
    <xf numFmtId="0" fontId="6" fillId="2" borderId="13" xfId="3" applyFont="1" applyFill="1" applyBorder="1" applyAlignment="1">
      <alignment horizontal="center" vertical="center" wrapText="1"/>
    </xf>
    <xf numFmtId="0" fontId="6" fillId="2" borderId="0" xfId="3" applyFont="1" applyFill="1" applyAlignment="1">
      <alignment horizontal="center" vertical="center"/>
    </xf>
    <xf numFmtId="0" fontId="3" fillId="2" borderId="14" xfId="3" applyFont="1" applyFill="1" applyBorder="1" applyAlignment="1">
      <alignment horizontal="left" vertical="center" wrapText="1"/>
    </xf>
    <xf numFmtId="0" fontId="3" fillId="2" borderId="15" xfId="3" applyFont="1" applyFill="1" applyBorder="1" applyAlignment="1">
      <alignment horizontal="left" vertical="center" wrapText="1"/>
    </xf>
    <xf numFmtId="2" fontId="3" fillId="2" borderId="16" xfId="5" applyNumberFormat="1" applyFont="1" applyFill="1" applyBorder="1" applyAlignment="1">
      <alignment horizontal="center" vertical="center" wrapText="1"/>
    </xf>
    <xf numFmtId="2" fontId="3" fillId="2" borderId="17" xfId="5" applyNumberFormat="1" applyFont="1" applyFill="1" applyBorder="1" applyAlignment="1">
      <alignment vertical="center"/>
    </xf>
    <xf numFmtId="164" fontId="3" fillId="2" borderId="18" xfId="2" applyNumberFormat="1" applyFont="1" applyFill="1" applyBorder="1" applyAlignment="1">
      <alignment horizontal="center" vertical="center" wrapText="1"/>
    </xf>
    <xf numFmtId="2" fontId="3" fillId="2" borderId="18" xfId="6" applyNumberFormat="1" applyFont="1" applyFill="1" applyBorder="1" applyAlignment="1">
      <alignment horizontal="right" vertical="center" wrapText="1"/>
    </xf>
    <xf numFmtId="4" fontId="3" fillId="2" borderId="0" xfId="3" applyNumberFormat="1" applyFont="1" applyFill="1" applyAlignment="1">
      <alignment vertical="center"/>
    </xf>
    <xf numFmtId="2" fontId="3" fillId="2" borderId="0" xfId="3" applyNumberFormat="1" applyFont="1" applyFill="1" applyAlignment="1">
      <alignment vertical="center"/>
    </xf>
    <xf numFmtId="0" fontId="3" fillId="2" borderId="19" xfId="3" applyFont="1" applyFill="1" applyBorder="1" applyAlignment="1">
      <alignment horizontal="left" vertical="center" wrapText="1"/>
    </xf>
    <xf numFmtId="0" fontId="3" fillId="2" borderId="20" xfId="3" applyFont="1" applyFill="1" applyBorder="1" applyAlignment="1">
      <alignment horizontal="left" vertical="center" wrapText="1"/>
    </xf>
    <xf numFmtId="2" fontId="3" fillId="2" borderId="21" xfId="5" applyNumberFormat="1" applyFont="1" applyFill="1" applyBorder="1" applyAlignment="1">
      <alignment horizontal="center" vertical="center" wrapText="1"/>
    </xf>
    <xf numFmtId="2" fontId="3" fillId="2" borderId="22" xfId="5" applyNumberFormat="1" applyFont="1" applyFill="1" applyBorder="1" applyAlignment="1">
      <alignment horizontal="center" vertical="center" wrapText="1"/>
    </xf>
    <xf numFmtId="2" fontId="3" fillId="2" borderId="17" xfId="5" applyNumberFormat="1" applyFont="1" applyFill="1" applyBorder="1" applyAlignment="1">
      <alignment horizontal="center" vertical="center" wrapText="1"/>
    </xf>
    <xf numFmtId="164" fontId="3" fillId="2" borderId="23" xfId="2" applyNumberFormat="1" applyFont="1" applyFill="1" applyBorder="1" applyAlignment="1">
      <alignment horizontal="center" vertical="center" wrapText="1"/>
    </xf>
    <xf numFmtId="0" fontId="3" fillId="2" borderId="19" xfId="4" applyFont="1" applyFill="1" applyBorder="1" applyAlignment="1">
      <alignment horizontal="left" vertical="center" wrapText="1"/>
    </xf>
    <xf numFmtId="0" fontId="3" fillId="2" borderId="20" xfId="4" applyFont="1" applyFill="1" applyBorder="1" applyAlignment="1">
      <alignment horizontal="left" vertical="center" wrapText="1"/>
    </xf>
    <xf numFmtId="0" fontId="6" fillId="2" borderId="24" xfId="3" applyFont="1" applyFill="1" applyBorder="1" applyAlignment="1">
      <alignment horizontal="center" vertical="center" wrapText="1"/>
    </xf>
    <xf numFmtId="0" fontId="6" fillId="2" borderId="25" xfId="3" applyFont="1" applyFill="1" applyBorder="1" applyAlignment="1">
      <alignment horizontal="center" vertical="center" wrapText="1"/>
    </xf>
    <xf numFmtId="2" fontId="6" fillId="2" borderId="26" xfId="5" applyNumberFormat="1" applyFont="1" applyFill="1" applyBorder="1" applyAlignment="1">
      <alignment horizontal="center" vertical="center" wrapText="1"/>
    </xf>
    <xf numFmtId="2" fontId="6" fillId="2" borderId="27" xfId="5" applyNumberFormat="1" applyFont="1" applyFill="1" applyBorder="1" applyAlignment="1">
      <alignment horizontal="center" vertical="center" wrapText="1"/>
    </xf>
    <xf numFmtId="2" fontId="6" fillId="2" borderId="28" xfId="7" applyNumberFormat="1" applyFont="1" applyFill="1" applyBorder="1" applyAlignment="1">
      <alignment horizontal="center" vertical="center" wrapText="1"/>
    </xf>
    <xf numFmtId="2" fontId="6" fillId="2" borderId="28" xfId="3" applyNumberFormat="1" applyFont="1" applyFill="1" applyBorder="1" applyAlignment="1">
      <alignment horizontal="right" vertical="center" wrapText="1"/>
    </xf>
    <xf numFmtId="165" fontId="3" fillId="2" borderId="0" xfId="3" applyNumberFormat="1" applyFont="1" applyFill="1" applyAlignment="1">
      <alignment vertical="center"/>
    </xf>
    <xf numFmtId="166" fontId="3" fillId="2" borderId="0" xfId="3" applyNumberFormat="1" applyFont="1" applyFill="1" applyAlignment="1">
      <alignment vertical="center"/>
    </xf>
    <xf numFmtId="0" fontId="3" fillId="2" borderId="0" xfId="3" applyFont="1" applyFill="1" applyAlignment="1">
      <alignment vertical="center" wrapText="1"/>
    </xf>
    <xf numFmtId="0" fontId="3" fillId="2" borderId="0" xfId="3" applyFont="1" applyFill="1" applyAlignment="1">
      <alignment horizontal="left" vertical="center" wrapText="1"/>
    </xf>
    <xf numFmtId="0" fontId="3" fillId="2" borderId="0" xfId="3" applyFont="1" applyFill="1" applyAlignment="1">
      <alignment horizontal="left" vertical="center" wrapText="1"/>
    </xf>
    <xf numFmtId="0" fontId="6" fillId="2" borderId="29" xfId="4" applyFont="1" applyFill="1" applyBorder="1" applyAlignment="1">
      <alignment horizontal="center" vertical="center"/>
    </xf>
    <xf numFmtId="0" fontId="6" fillId="2" borderId="22" xfId="4" applyFont="1" applyFill="1" applyBorder="1" applyAlignment="1">
      <alignment horizontal="center" vertical="center" wrapText="1"/>
    </xf>
    <xf numFmtId="0" fontId="6" fillId="2" borderId="30" xfId="4" applyFont="1" applyFill="1" applyBorder="1" applyAlignment="1">
      <alignment horizontal="center" vertical="center"/>
    </xf>
    <xf numFmtId="0" fontId="6" fillId="2" borderId="22" xfId="4" applyFont="1" applyFill="1" applyBorder="1" applyAlignment="1">
      <alignment horizontal="center" vertical="center"/>
    </xf>
    <xf numFmtId="0" fontId="6" fillId="2" borderId="22" xfId="4" applyFont="1" applyFill="1" applyBorder="1" applyAlignment="1">
      <alignment horizontal="center" vertical="center"/>
    </xf>
    <xf numFmtId="0" fontId="3" fillId="2" borderId="22" xfId="4" applyFont="1" applyFill="1" applyBorder="1" applyAlignment="1">
      <alignment horizontal="left" vertical="center"/>
    </xf>
    <xf numFmtId="44" fontId="3" fillId="2" borderId="22" xfId="1" applyFont="1" applyFill="1" applyBorder="1" applyAlignment="1">
      <alignment horizontal="right" vertical="center"/>
    </xf>
    <xf numFmtId="44" fontId="3" fillId="2" borderId="0" xfId="3" applyNumberFormat="1" applyFont="1" applyFill="1" applyAlignment="1">
      <alignment vertical="center"/>
    </xf>
    <xf numFmtId="0" fontId="6" fillId="2" borderId="31" xfId="4" applyFont="1" applyFill="1" applyBorder="1" applyAlignment="1">
      <alignment horizontal="center" vertical="center"/>
    </xf>
    <xf numFmtId="167" fontId="3" fillId="2" borderId="0" xfId="3" applyNumberFormat="1" applyFont="1" applyFill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0" fontId="6" fillId="2" borderId="0" xfId="3" applyFont="1" applyFill="1" applyAlignment="1">
      <alignment horizontal="left" vertical="center" wrapText="1"/>
    </xf>
    <xf numFmtId="0" fontId="6" fillId="2" borderId="0" xfId="3" applyFont="1" applyFill="1" applyAlignment="1">
      <alignment horizontal="left" vertical="center" wrapText="1"/>
    </xf>
    <xf numFmtId="0" fontId="6" fillId="2" borderId="0" xfId="3" applyFont="1" applyFill="1" applyAlignment="1">
      <alignment horizontal="center" vertical="center" wrapText="1"/>
    </xf>
    <xf numFmtId="0" fontId="3" fillId="2" borderId="22" xfId="3" applyFont="1" applyFill="1" applyBorder="1" applyAlignment="1">
      <alignment vertical="center"/>
    </xf>
    <xf numFmtId="166" fontId="3" fillId="2" borderId="22" xfId="3" applyNumberFormat="1" applyFont="1" applyFill="1" applyBorder="1" applyAlignment="1">
      <alignment horizontal="center" vertical="center" wrapText="1"/>
    </xf>
    <xf numFmtId="1" fontId="3" fillId="2" borderId="22" xfId="1" applyNumberFormat="1" applyFont="1" applyFill="1" applyBorder="1" applyAlignment="1">
      <alignment horizontal="center" vertical="center"/>
    </xf>
    <xf numFmtId="0" fontId="3" fillId="2" borderId="22" xfId="3" applyFont="1" applyFill="1" applyBorder="1" applyAlignment="1">
      <alignment horizontal="center" vertical="center" wrapText="1"/>
    </xf>
    <xf numFmtId="2" fontId="3" fillId="2" borderId="22" xfId="1" applyNumberFormat="1" applyFont="1" applyFill="1" applyBorder="1" applyAlignment="1">
      <alignment horizontal="center" vertical="center"/>
    </xf>
    <xf numFmtId="167" fontId="3" fillId="2" borderId="22" xfId="1" applyNumberFormat="1" applyFont="1" applyFill="1" applyBorder="1" applyAlignment="1">
      <alignment horizontal="center" vertical="center"/>
    </xf>
    <xf numFmtId="44" fontId="3" fillId="2" borderId="0" xfId="5" applyFont="1" applyFill="1" applyBorder="1" applyAlignment="1">
      <alignment horizontal="center" vertical="center"/>
    </xf>
    <xf numFmtId="0" fontId="3" fillId="2" borderId="0" xfId="4" applyFont="1" applyFill="1" applyAlignment="1">
      <alignment horizontal="center" vertical="center"/>
    </xf>
    <xf numFmtId="9" fontId="3" fillId="2" borderId="0" xfId="7" applyFont="1" applyFill="1" applyBorder="1" applyAlignment="1">
      <alignment horizontal="center" vertical="center"/>
    </xf>
    <xf numFmtId="168" fontId="3" fillId="2" borderId="0" xfId="8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center"/>
    </xf>
    <xf numFmtId="166" fontId="3" fillId="2" borderId="0" xfId="3" applyNumberFormat="1" applyFont="1" applyFill="1" applyAlignment="1">
      <alignment horizontal="center" vertical="center" wrapText="1"/>
    </xf>
    <xf numFmtId="0" fontId="6" fillId="2" borderId="32" xfId="4" applyFont="1" applyFill="1" applyBorder="1" applyAlignment="1">
      <alignment horizontal="center" vertical="center" wrapText="1"/>
    </xf>
    <xf numFmtId="0" fontId="6" fillId="2" borderId="33" xfId="4" applyFont="1" applyFill="1" applyBorder="1" applyAlignment="1">
      <alignment horizontal="center" vertical="center" wrapText="1"/>
    </xf>
    <xf numFmtId="0" fontId="6" fillId="2" borderId="21" xfId="4" applyFont="1" applyFill="1" applyBorder="1" applyAlignment="1">
      <alignment horizontal="center" vertical="center" wrapText="1"/>
    </xf>
    <xf numFmtId="0" fontId="6" fillId="2" borderId="32" xfId="4" applyFont="1" applyFill="1" applyBorder="1" applyAlignment="1">
      <alignment horizontal="center" vertical="center"/>
    </xf>
    <xf numFmtId="0" fontId="6" fillId="2" borderId="33" xfId="4" applyFont="1" applyFill="1" applyBorder="1" applyAlignment="1">
      <alignment horizontal="center" vertical="center"/>
    </xf>
    <xf numFmtId="0" fontId="6" fillId="2" borderId="21" xfId="4" applyFont="1" applyFill="1" applyBorder="1" applyAlignment="1">
      <alignment horizontal="center" vertical="center"/>
    </xf>
    <xf numFmtId="0" fontId="13" fillId="2" borderId="22" xfId="4" applyFont="1" applyFill="1" applyBorder="1" applyAlignment="1">
      <alignment horizontal="center" vertical="center" wrapText="1"/>
    </xf>
    <xf numFmtId="9" fontId="14" fillId="2" borderId="22" xfId="4" applyNumberFormat="1" applyFont="1" applyFill="1" applyBorder="1" applyAlignment="1">
      <alignment horizontal="center" vertical="center" wrapText="1"/>
    </xf>
    <xf numFmtId="1" fontId="3" fillId="2" borderId="22" xfId="4" applyNumberFormat="1" applyFont="1" applyFill="1" applyBorder="1" applyAlignment="1">
      <alignment horizontal="right" vertical="center"/>
    </xf>
    <xf numFmtId="0" fontId="15" fillId="2" borderId="0" xfId="3" applyFont="1" applyFill="1" applyAlignment="1">
      <alignment vertical="center"/>
    </xf>
    <xf numFmtId="0" fontId="3" fillId="2" borderId="0" xfId="3" applyFont="1" applyFill="1" applyAlignment="1">
      <alignment wrapText="1"/>
    </xf>
    <xf numFmtId="0" fontId="16" fillId="2" borderId="0" xfId="3" applyFont="1" applyFill="1" applyAlignment="1">
      <alignment wrapText="1"/>
    </xf>
    <xf numFmtId="0" fontId="3" fillId="2" borderId="34" xfId="3" applyFon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3" fillId="2" borderId="35" xfId="4" applyFont="1" applyFill="1" applyBorder="1" applyAlignment="1">
      <alignment horizontal="center" vertical="center"/>
    </xf>
    <xf numFmtId="0" fontId="3" fillId="2" borderId="35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17" fillId="2" borderId="0" xfId="3" applyFont="1" applyFill="1" applyAlignment="1">
      <alignment horizontal="center" vertical="center" wrapText="1"/>
    </xf>
    <xf numFmtId="0" fontId="17" fillId="2" borderId="0" xfId="3" applyFont="1" applyFill="1" applyAlignment="1">
      <alignment vertical="center" wrapText="1"/>
    </xf>
    <xf numFmtId="0" fontId="6" fillId="2" borderId="35" xfId="3" applyFont="1" applyFill="1" applyBorder="1" applyAlignment="1">
      <alignment horizontal="center" vertical="center"/>
    </xf>
    <xf numFmtId="0" fontId="3" fillId="2" borderId="34" xfId="3" applyFont="1" applyFill="1" applyBorder="1" applyAlignment="1">
      <alignment horizontal="center" vertical="center"/>
    </xf>
    <xf numFmtId="0" fontId="3" fillId="2" borderId="33" xfId="3" applyFont="1" applyFill="1" applyBorder="1" applyAlignment="1">
      <alignment horizontal="center" vertical="center"/>
    </xf>
  </cellXfs>
  <cellStyles count="9">
    <cellStyle name="Millares 2" xfId="8" xr:uid="{24D5544B-A4BA-4CF3-943C-8FC3CE3D80C0}"/>
    <cellStyle name="Millares 3" xfId="6" xr:uid="{B2FB60D7-C448-4734-BF87-8A4F3318A353}"/>
    <cellStyle name="Moneda" xfId="1" builtinId="4"/>
    <cellStyle name="Moneda 2" xfId="5" xr:uid="{EFD930CE-9952-4CAC-BFBC-375CE931663C}"/>
    <cellStyle name="Normal" xfId="0" builtinId="0"/>
    <cellStyle name="Normal 2" xfId="4" xr:uid="{33C1E28B-5FEA-4A97-A81A-0255CEEB03F5}"/>
    <cellStyle name="Normal 4" xfId="3" xr:uid="{961B8688-5399-45CC-8D5F-CEDA3C77559C}"/>
    <cellStyle name="Porcentaje" xfId="2" builtinId="5"/>
    <cellStyle name="Porcentaje 2" xfId="7" xr:uid="{1BF050BA-4B5F-41EC-A254-5D8F559B9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1560286</xdr:colOff>
      <xdr:row>0</xdr:row>
      <xdr:rowOff>0</xdr:rowOff>
    </xdr:from>
    <xdr:to>
      <xdr:col>7</xdr:col>
      <xdr:colOff>456596</xdr:colOff>
      <xdr:row>1</xdr:row>
      <xdr:rowOff>109829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5FBE78-47FF-48A8-957F-51478541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6236" y="0"/>
          <a:ext cx="5608260" cy="163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F3DA-BBAF-4B90-B8B2-C0C04F76F4E3}">
  <sheetPr>
    <pageSetUpPr fitToPage="1"/>
  </sheetPr>
  <dimension ref="A1:M81"/>
  <sheetViews>
    <sheetView tabSelected="1" topLeftCell="A46" zoomScale="70" zoomScaleNormal="70" workbookViewId="0">
      <selection activeCell="K57" sqref="K57"/>
    </sheetView>
  </sheetViews>
  <sheetFormatPr baseColWidth="10" defaultColWidth="11.453125" defaultRowHeight="15.5"/>
  <cols>
    <col min="1" max="1" width="4.81640625" style="1" bestFit="1" customWidth="1"/>
    <col min="2" max="2" width="22.1796875" style="2" customWidth="1"/>
    <col min="3" max="3" width="22.453125" style="1" customWidth="1"/>
    <col min="4" max="5" width="17.1796875" style="1" customWidth="1"/>
    <col min="6" max="6" width="22.81640625" style="1" customWidth="1"/>
    <col min="7" max="7" width="16.453125" style="1" customWidth="1"/>
    <col min="8" max="8" width="22.453125" style="1" customWidth="1"/>
    <col min="9" max="9" width="13.7265625" style="1" customWidth="1"/>
    <col min="10" max="10" width="13.1796875" style="1" customWidth="1"/>
    <col min="11" max="16384" width="11.453125" style="1"/>
  </cols>
  <sheetData>
    <row r="1" spans="2:12" ht="120" customHeight="1">
      <c r="B1" s="1"/>
    </row>
    <row r="2" spans="2:12" ht="18">
      <c r="E2" s="3"/>
    </row>
    <row r="3" spans="2:12" ht="20">
      <c r="B3" s="4" t="s">
        <v>0</v>
      </c>
      <c r="C3" s="4"/>
      <c r="D3" s="4"/>
      <c r="E3" s="4"/>
      <c r="F3" s="4"/>
      <c r="G3" s="4"/>
      <c r="H3" s="4"/>
      <c r="I3" s="4"/>
      <c r="J3" s="4"/>
      <c r="K3" s="5"/>
      <c r="L3" s="6"/>
    </row>
    <row r="7" spans="2:12">
      <c r="B7" s="7" t="s">
        <v>1</v>
      </c>
      <c r="C7" s="8"/>
      <c r="D7" s="8" t="s">
        <v>2</v>
      </c>
      <c r="E7" s="8"/>
      <c r="F7" s="8"/>
      <c r="G7" s="8" t="s">
        <v>3</v>
      </c>
      <c r="H7" s="8"/>
    </row>
    <row r="8" spans="2:12">
      <c r="B8" s="7" t="s">
        <v>4</v>
      </c>
      <c r="C8" s="8"/>
      <c r="D8" s="8" t="s">
        <v>5</v>
      </c>
      <c r="E8" s="8"/>
      <c r="F8" s="8"/>
      <c r="G8" s="8"/>
      <c r="H8" s="8"/>
    </row>
    <row r="11" spans="2:12">
      <c r="B11" s="7" t="s">
        <v>6</v>
      </c>
      <c r="C11" s="8"/>
      <c r="D11" s="8"/>
      <c r="E11" s="8"/>
      <c r="F11" s="8"/>
      <c r="G11" s="8"/>
      <c r="H11" s="8"/>
    </row>
    <row r="12" spans="2:12">
      <c r="B12" s="7"/>
      <c r="C12" s="8"/>
      <c r="D12" s="8"/>
      <c r="E12" s="8"/>
      <c r="F12" s="8"/>
      <c r="G12" s="8"/>
      <c r="H12" s="8"/>
    </row>
    <row r="13" spans="2:12" ht="15.75" customHeight="1">
      <c r="B13" s="9" t="s">
        <v>7</v>
      </c>
      <c r="C13" s="9"/>
      <c r="D13" s="9"/>
      <c r="E13" s="9"/>
      <c r="F13" s="9"/>
      <c r="G13" s="9"/>
      <c r="H13" s="9"/>
      <c r="I13" s="10"/>
      <c r="J13" s="10"/>
      <c r="K13" s="10"/>
      <c r="L13" s="10"/>
    </row>
    <row r="14" spans="2:12">
      <c r="B14" s="7"/>
      <c r="C14" s="8"/>
      <c r="D14" s="8"/>
      <c r="E14" s="8"/>
      <c r="F14" s="8"/>
      <c r="G14" s="8"/>
      <c r="H14" s="8"/>
    </row>
    <row r="15" spans="2:12">
      <c r="B15" s="11" t="s">
        <v>8</v>
      </c>
      <c r="C15" s="12" t="s">
        <v>9</v>
      </c>
      <c r="D15" s="12"/>
      <c r="E15" s="12"/>
      <c r="F15" s="12"/>
      <c r="G15" s="12"/>
      <c r="H15" s="12"/>
      <c r="I15" s="13"/>
    </row>
    <row r="17" spans="1:13">
      <c r="A17" s="14"/>
      <c r="B17" s="14" t="s">
        <v>10</v>
      </c>
    </row>
    <row r="18" spans="1:13">
      <c r="B18" s="14"/>
    </row>
    <row r="19" spans="1:13">
      <c r="B19" s="2" t="s">
        <v>11</v>
      </c>
    </row>
    <row r="20" spans="1:13" ht="16" thickBot="1">
      <c r="B20" s="14"/>
    </row>
    <row r="21" spans="1:13" s="15" customFormat="1" ht="15.65" customHeight="1">
      <c r="B21" s="16" t="s">
        <v>12</v>
      </c>
      <c r="C21" s="17"/>
      <c r="D21" s="18" t="s">
        <v>13</v>
      </c>
      <c r="E21" s="19"/>
      <c r="F21" s="20"/>
      <c r="G21" s="20"/>
      <c r="H21" s="21" t="s">
        <v>14</v>
      </c>
      <c r="I21" s="21" t="s">
        <v>15</v>
      </c>
      <c r="J21" s="1"/>
      <c r="K21" s="1"/>
    </row>
    <row r="22" spans="1:13" ht="31.5" thickBot="1">
      <c r="B22" s="22"/>
      <c r="C22" s="23"/>
      <c r="D22" s="24" t="s">
        <v>16</v>
      </c>
      <c r="E22" s="25" t="s">
        <v>17</v>
      </c>
      <c r="F22" s="26" t="s">
        <v>18</v>
      </c>
      <c r="G22" s="27" t="s">
        <v>19</v>
      </c>
      <c r="H22" s="28"/>
      <c r="I22" s="28"/>
      <c r="M22" s="29"/>
    </row>
    <row r="23" spans="1:13">
      <c r="B23" s="30" t="s">
        <v>20</v>
      </c>
      <c r="C23" s="31"/>
      <c r="D23" s="32">
        <v>41.455555555555556</v>
      </c>
      <c r="E23" s="32">
        <v>41.455555555555556</v>
      </c>
      <c r="F23" s="32">
        <v>41.455555555555556</v>
      </c>
      <c r="G23" s="33">
        <f>E23+D23+F23</f>
        <v>124.36666666666667</v>
      </c>
      <c r="H23" s="34">
        <v>1.4999999999999999E-2</v>
      </c>
      <c r="I23" s="35">
        <f>H23*G23</f>
        <v>1.8654999999999999</v>
      </c>
      <c r="L23" s="36"/>
      <c r="M23" s="37"/>
    </row>
    <row r="24" spans="1:13">
      <c r="B24" s="38" t="s">
        <v>21</v>
      </c>
      <c r="C24" s="39"/>
      <c r="D24" s="40">
        <v>166.37111111111111</v>
      </c>
      <c r="E24" s="41">
        <v>166.37111111111111</v>
      </c>
      <c r="F24" s="42">
        <v>166.37111111111111</v>
      </c>
      <c r="G24" s="33">
        <f>E24+D24+F24</f>
        <v>499.11333333333334</v>
      </c>
      <c r="H24" s="43">
        <v>2.5000000000000001E-2</v>
      </c>
      <c r="I24" s="35">
        <f t="shared" ref="I24:I26" si="0">H24*G24</f>
        <v>12.477833333333335</v>
      </c>
      <c r="L24" s="36"/>
      <c r="M24" s="37"/>
    </row>
    <row r="25" spans="1:13" ht="15.5" customHeight="1">
      <c r="B25" s="38" t="s">
        <v>22</v>
      </c>
      <c r="C25" s="39"/>
      <c r="D25" s="40">
        <v>70.178333333333327</v>
      </c>
      <c r="E25" s="40">
        <v>70.178333333333327</v>
      </c>
      <c r="F25" s="40">
        <v>70.178333333333327</v>
      </c>
      <c r="G25" s="33">
        <f>E25+D25+F25</f>
        <v>210.53499999999997</v>
      </c>
      <c r="H25" s="43">
        <v>0.01</v>
      </c>
      <c r="I25" s="35">
        <f t="shared" si="0"/>
        <v>2.1053499999999996</v>
      </c>
      <c r="L25" s="36"/>
      <c r="M25" s="37"/>
    </row>
    <row r="26" spans="1:13" ht="16" thickBot="1">
      <c r="B26" s="44" t="s">
        <v>23</v>
      </c>
      <c r="C26" s="45"/>
      <c r="D26" s="40">
        <v>86.40666666666668</v>
      </c>
      <c r="E26" s="40">
        <v>86.40666666666668</v>
      </c>
      <c r="F26" s="40">
        <v>86.40666666666668</v>
      </c>
      <c r="G26" s="33">
        <f>E26+D26+F26</f>
        <v>259.22000000000003</v>
      </c>
      <c r="H26" s="43">
        <v>2.5000000000000001E-2</v>
      </c>
      <c r="I26" s="35">
        <f t="shared" si="0"/>
        <v>6.480500000000001</v>
      </c>
      <c r="L26" s="36"/>
      <c r="M26" s="37"/>
    </row>
    <row r="27" spans="1:13" ht="16" thickBot="1">
      <c r="B27" s="46" t="s">
        <v>24</v>
      </c>
      <c r="C27" s="47"/>
      <c r="D27" s="48">
        <f>SUM(D23:D26)</f>
        <v>364.41166666666669</v>
      </c>
      <c r="E27" s="49">
        <f>SUM(E23:E26)</f>
        <v>364.41166666666669</v>
      </c>
      <c r="F27" s="49">
        <f>SUM(F23:F26)</f>
        <v>364.41166666666669</v>
      </c>
      <c r="G27" s="49">
        <f>SUM(G23:G26)</f>
        <v>1093.2350000000001</v>
      </c>
      <c r="H27" s="50"/>
      <c r="I27" s="51">
        <f>SUM(I23:I26)</f>
        <v>22.929183333333334</v>
      </c>
      <c r="J27" s="52"/>
      <c r="M27" s="37"/>
    </row>
    <row r="28" spans="1:13">
      <c r="J28" s="53"/>
    </row>
    <row r="29" spans="1:13">
      <c r="B29" s="14" t="s">
        <v>25</v>
      </c>
    </row>
    <row r="30" spans="1:13">
      <c r="B30" s="2" t="s">
        <v>26</v>
      </c>
    </row>
    <row r="31" spans="1:13" ht="56.15" customHeight="1">
      <c r="B31" s="54" t="s">
        <v>27</v>
      </c>
      <c r="C31" s="54"/>
      <c r="D31" s="54"/>
      <c r="E31" s="54"/>
      <c r="F31" s="54"/>
      <c r="G31" s="54"/>
      <c r="H31" s="54"/>
      <c r="I31" s="54"/>
      <c r="J31" s="54"/>
    </row>
    <row r="32" spans="1:13">
      <c r="B32" s="2" t="s">
        <v>28</v>
      </c>
    </row>
    <row r="33" spans="1:12">
      <c r="B33" s="7" t="s">
        <v>29</v>
      </c>
    </row>
    <row r="34" spans="1:12" ht="8.5" customHeight="1"/>
    <row r="35" spans="1:12">
      <c r="A35" s="14"/>
      <c r="B35" s="14" t="s">
        <v>30</v>
      </c>
    </row>
    <row r="36" spans="1:12">
      <c r="B36" s="14" t="s">
        <v>31</v>
      </c>
    </row>
    <row r="37" spans="1:12" ht="63.65" customHeight="1">
      <c r="B37" s="55" t="s">
        <v>32</v>
      </c>
      <c r="C37" s="55"/>
      <c r="D37" s="55"/>
      <c r="E37" s="55"/>
      <c r="F37" s="55"/>
      <c r="G37" s="55"/>
      <c r="H37" s="55"/>
      <c r="I37" s="55"/>
      <c r="J37" s="55"/>
      <c r="K37" s="56"/>
    </row>
    <row r="39" spans="1:12" ht="31">
      <c r="A39" s="57">
        <v>1</v>
      </c>
      <c r="B39" s="58" t="s">
        <v>33</v>
      </c>
      <c r="C39" s="58" t="s">
        <v>34</v>
      </c>
      <c r="D39" s="58" t="s">
        <v>35</v>
      </c>
      <c r="E39" s="58" t="s">
        <v>36</v>
      </c>
      <c r="F39" s="58" t="s">
        <v>37</v>
      </c>
    </row>
    <row r="40" spans="1:12">
      <c r="A40" s="59"/>
      <c r="B40" s="60" t="s">
        <v>38</v>
      </c>
      <c r="C40" s="60"/>
      <c r="D40" s="60"/>
      <c r="E40" s="60"/>
      <c r="F40" s="60"/>
    </row>
    <row r="41" spans="1:12">
      <c r="A41" s="59"/>
      <c r="B41" s="61"/>
      <c r="C41" s="61" t="s">
        <v>16</v>
      </c>
      <c r="D41" s="61" t="s">
        <v>17</v>
      </c>
      <c r="E41" s="61" t="s">
        <v>18</v>
      </c>
      <c r="F41" s="61" t="s">
        <v>39</v>
      </c>
    </row>
    <row r="42" spans="1:12">
      <c r="A42" s="59"/>
      <c r="B42" s="62" t="s">
        <v>40</v>
      </c>
      <c r="C42" s="63"/>
      <c r="D42" s="63"/>
      <c r="E42" s="63"/>
      <c r="F42" s="63"/>
      <c r="H42" s="64"/>
    </row>
    <row r="43" spans="1:12">
      <c r="A43" s="65"/>
      <c r="B43" s="62" t="s">
        <v>41</v>
      </c>
      <c r="C43" s="63"/>
      <c r="D43" s="63"/>
      <c r="E43" s="63"/>
      <c r="F43" s="63"/>
      <c r="H43" s="66"/>
    </row>
    <row r="45" spans="1:12" ht="18" customHeight="1">
      <c r="B45" s="67" t="s">
        <v>42</v>
      </c>
      <c r="C45" s="68"/>
      <c r="D45" s="68"/>
      <c r="E45" s="68"/>
      <c r="F45" s="68"/>
      <c r="G45" s="68"/>
      <c r="H45" s="68"/>
      <c r="I45" s="68"/>
      <c r="J45" s="68"/>
      <c r="K45" s="10"/>
    </row>
    <row r="46" spans="1:12" ht="90" customHeight="1">
      <c r="B46" s="68"/>
      <c r="C46" s="68"/>
      <c r="D46" s="68"/>
      <c r="E46" s="68"/>
      <c r="F46" s="68"/>
      <c r="G46" s="68"/>
      <c r="H46" s="68"/>
      <c r="I46" s="68"/>
      <c r="J46" s="68"/>
      <c r="K46" s="10"/>
      <c r="L46" s="10"/>
    </row>
    <row r="47" spans="1:12">
      <c r="B47" s="69"/>
      <c r="C47" s="69"/>
      <c r="D47" s="69"/>
      <c r="E47" s="69"/>
      <c r="F47" s="69"/>
      <c r="G47" s="69"/>
      <c r="H47" s="69"/>
      <c r="I47" s="69"/>
      <c r="J47" s="69"/>
      <c r="K47" s="10"/>
      <c r="L47" s="10"/>
    </row>
    <row r="48" spans="1:12" ht="31">
      <c r="A48" s="57">
        <v>2</v>
      </c>
      <c r="B48" s="61" t="s">
        <v>33</v>
      </c>
      <c r="C48" s="58" t="s">
        <v>34</v>
      </c>
      <c r="D48" s="58" t="s">
        <v>35</v>
      </c>
      <c r="E48" s="58" t="s">
        <v>36</v>
      </c>
      <c r="F48" s="58" t="s">
        <v>43</v>
      </c>
      <c r="I48" s="70"/>
    </row>
    <row r="49" spans="1:12" ht="15" customHeight="1">
      <c r="A49" s="59"/>
      <c r="B49" s="60" t="s">
        <v>44</v>
      </c>
      <c r="C49" s="60"/>
      <c r="D49" s="60"/>
      <c r="E49" s="60"/>
      <c r="F49" s="60"/>
    </row>
    <row r="50" spans="1:12" ht="15" customHeight="1">
      <c r="A50" s="59"/>
      <c r="B50" s="61"/>
      <c r="C50" s="61" t="s">
        <v>16</v>
      </c>
      <c r="D50" s="61" t="s">
        <v>17</v>
      </c>
      <c r="E50" s="61" t="s">
        <v>18</v>
      </c>
      <c r="F50" s="61" t="s">
        <v>37</v>
      </c>
      <c r="H50" s="71" t="s">
        <v>45</v>
      </c>
      <c r="I50" s="72"/>
    </row>
    <row r="51" spans="1:12" ht="15" customHeight="1">
      <c r="A51" s="59"/>
      <c r="B51" s="62" t="s">
        <v>46</v>
      </c>
      <c r="C51" s="73">
        <v>2</v>
      </c>
      <c r="D51" s="73">
        <v>2</v>
      </c>
      <c r="E51" s="73">
        <v>2</v>
      </c>
      <c r="F51" s="73">
        <f>SUM(C51:E51)</f>
        <v>6</v>
      </c>
      <c r="H51" s="71" t="s">
        <v>47</v>
      </c>
      <c r="I51" s="74" t="s">
        <v>48</v>
      </c>
    </row>
    <row r="52" spans="1:12" ht="15" customHeight="1">
      <c r="A52" s="59"/>
      <c r="B52" s="62" t="s">
        <v>41</v>
      </c>
      <c r="C52" s="75"/>
      <c r="D52" s="75"/>
      <c r="E52" s="75"/>
      <c r="F52" s="76"/>
      <c r="G52" s="77"/>
      <c r="H52" s="71" t="s">
        <v>41</v>
      </c>
      <c r="I52" s="74" t="s">
        <v>48</v>
      </c>
    </row>
    <row r="53" spans="1:12" ht="15" customHeight="1">
      <c r="A53" s="65"/>
      <c r="B53" s="62" t="s">
        <v>47</v>
      </c>
      <c r="C53" s="75"/>
      <c r="D53" s="75"/>
      <c r="E53" s="75"/>
      <c r="F53" s="76"/>
      <c r="G53" s="77"/>
      <c r="H53" s="71" t="s">
        <v>40</v>
      </c>
      <c r="I53" s="74" t="s">
        <v>48</v>
      </c>
    </row>
    <row r="54" spans="1:12" ht="15" customHeight="1">
      <c r="A54" s="11"/>
      <c r="B54" s="7"/>
      <c r="C54" s="78"/>
      <c r="D54" s="79"/>
      <c r="E54" s="80"/>
      <c r="F54" s="81"/>
      <c r="G54" s="77"/>
      <c r="I54" s="82"/>
    </row>
    <row r="55" spans="1:12" ht="37.5" customHeight="1">
      <c r="A55" s="60">
        <v>3</v>
      </c>
      <c r="B55" s="61" t="s">
        <v>33</v>
      </c>
      <c r="C55" s="58" t="s">
        <v>34</v>
      </c>
      <c r="D55" s="58" t="s">
        <v>35</v>
      </c>
      <c r="E55" s="83" t="s">
        <v>36</v>
      </c>
      <c r="F55" s="84"/>
      <c r="G55" s="84"/>
      <c r="H55" s="85"/>
      <c r="I55" s="82"/>
    </row>
    <row r="56" spans="1:12" ht="15" customHeight="1">
      <c r="A56" s="60"/>
      <c r="B56" s="57" t="s">
        <v>49</v>
      </c>
      <c r="C56" s="86" t="s">
        <v>50</v>
      </c>
      <c r="D56" s="87"/>
      <c r="E56" s="87"/>
      <c r="F56" s="87"/>
      <c r="G56" s="87"/>
      <c r="H56" s="88"/>
      <c r="I56" s="82"/>
    </row>
    <row r="57" spans="1:12" ht="31.5" customHeight="1">
      <c r="A57" s="60"/>
      <c r="B57" s="65"/>
      <c r="C57" s="89" t="s">
        <v>51</v>
      </c>
      <c r="D57" s="89" t="s">
        <v>52</v>
      </c>
      <c r="E57" s="61" t="s">
        <v>16</v>
      </c>
      <c r="F57" s="61" t="s">
        <v>17</v>
      </c>
      <c r="G57" s="61" t="s">
        <v>18</v>
      </c>
      <c r="H57" s="58" t="s">
        <v>53</v>
      </c>
      <c r="I57" s="82"/>
    </row>
    <row r="58" spans="1:12">
      <c r="A58" s="60"/>
      <c r="B58" s="62" t="s">
        <v>54</v>
      </c>
      <c r="C58" s="90">
        <v>0.55000000000000004</v>
      </c>
      <c r="D58" s="61">
        <v>2</v>
      </c>
      <c r="E58" s="73">
        <v>4</v>
      </c>
      <c r="F58" s="73">
        <v>4</v>
      </c>
      <c r="G58" s="73">
        <v>4</v>
      </c>
      <c r="H58" s="91">
        <f>SUM(E58:G58)</f>
        <v>12</v>
      </c>
      <c r="I58" s="82"/>
    </row>
    <row r="59" spans="1:12">
      <c r="A59" s="60"/>
      <c r="B59" s="62" t="s">
        <v>55</v>
      </c>
      <c r="C59" s="90">
        <v>0.3</v>
      </c>
      <c r="D59" s="61"/>
      <c r="E59" s="73"/>
      <c r="F59" s="73"/>
      <c r="G59" s="73"/>
      <c r="H59" s="91"/>
    </row>
    <row r="60" spans="1:12">
      <c r="B60" s="56"/>
      <c r="C60" s="56"/>
      <c r="D60" s="56"/>
      <c r="E60" s="56"/>
      <c r="F60" s="56"/>
      <c r="G60" s="56"/>
      <c r="H60" s="56"/>
      <c r="I60" s="15"/>
      <c r="J60" s="15"/>
      <c r="K60" s="15"/>
      <c r="L60" s="15"/>
    </row>
    <row r="61" spans="1:12">
      <c r="B61" s="56"/>
      <c r="C61" s="56"/>
      <c r="D61" s="56"/>
      <c r="E61" s="56"/>
      <c r="F61" s="56"/>
      <c r="G61" s="56"/>
      <c r="H61" s="56"/>
      <c r="I61" s="15"/>
      <c r="J61" s="15"/>
      <c r="K61" s="15"/>
      <c r="L61" s="15"/>
    </row>
    <row r="62" spans="1:12" ht="15.65" customHeight="1">
      <c r="B62" s="68" t="s">
        <v>56</v>
      </c>
      <c r="C62" s="68"/>
      <c r="D62" s="68"/>
      <c r="E62" s="68"/>
      <c r="F62" s="68"/>
      <c r="G62" s="68"/>
      <c r="H62" s="68"/>
      <c r="I62" s="15"/>
      <c r="J62" s="15"/>
      <c r="K62" s="15"/>
      <c r="L62" s="15"/>
    </row>
    <row r="63" spans="1:12">
      <c r="B63" s="2" t="s">
        <v>57</v>
      </c>
      <c r="C63" s="2"/>
      <c r="D63" s="2"/>
      <c r="E63" s="2"/>
      <c r="F63" s="1" t="s">
        <v>58</v>
      </c>
      <c r="G63" s="2"/>
      <c r="H63" s="2"/>
      <c r="I63" s="2"/>
      <c r="J63" s="2"/>
      <c r="K63" s="2"/>
      <c r="L63" s="2"/>
    </row>
    <row r="64" spans="1:12" ht="15.65" customHeight="1">
      <c r="B64" s="55" t="s">
        <v>59</v>
      </c>
      <c r="C64" s="55"/>
      <c r="D64" s="55"/>
      <c r="E64" s="55"/>
      <c r="F64" s="55"/>
      <c r="G64" s="55"/>
      <c r="H64" s="55"/>
      <c r="I64" s="55"/>
      <c r="J64" s="55"/>
      <c r="K64" s="15"/>
    </row>
    <row r="65" spans="2:12" ht="19" customHeight="1">
      <c r="B65" s="55"/>
      <c r="C65" s="55"/>
      <c r="D65" s="55"/>
      <c r="E65" s="55"/>
      <c r="F65" s="55"/>
      <c r="G65" s="55"/>
      <c r="H65" s="55"/>
      <c r="I65" s="55"/>
      <c r="J65" s="55"/>
      <c r="K65" s="56"/>
    </row>
    <row r="66" spans="2:12" ht="14.25" customHeight="1">
      <c r="B66" s="92"/>
      <c r="C66" s="93"/>
      <c r="D66" s="93"/>
      <c r="E66" s="93"/>
      <c r="F66" s="93"/>
      <c r="G66" s="93"/>
      <c r="H66" s="93"/>
      <c r="I66" s="93"/>
      <c r="J66" s="93"/>
      <c r="K66" s="93"/>
      <c r="L66" s="93"/>
    </row>
    <row r="67" spans="2:12">
      <c r="B67" s="1" t="s">
        <v>60</v>
      </c>
      <c r="I67" s="94"/>
      <c r="J67" s="94"/>
      <c r="K67" s="94"/>
      <c r="L67" s="94"/>
    </row>
    <row r="69" spans="2:12" ht="56.25" customHeight="1">
      <c r="B69" s="1"/>
      <c r="C69" s="95" t="s">
        <v>58</v>
      </c>
      <c r="D69" s="95"/>
      <c r="G69" s="95" t="s">
        <v>58</v>
      </c>
      <c r="H69" s="95"/>
      <c r="I69" s="95"/>
    </row>
    <row r="70" spans="2:12">
      <c r="B70" s="96"/>
      <c r="C70" s="97" t="s">
        <v>61</v>
      </c>
      <c r="D70" s="97"/>
      <c r="E70" s="96"/>
      <c r="F70" s="96"/>
      <c r="G70" s="98" t="s">
        <v>62</v>
      </c>
      <c r="H70" s="98"/>
      <c r="I70" s="98"/>
      <c r="J70" s="96"/>
      <c r="K70" s="96"/>
    </row>
    <row r="71" spans="2:12">
      <c r="B71" s="96"/>
      <c r="C71" s="99" t="s">
        <v>63</v>
      </c>
      <c r="D71" s="100"/>
      <c r="E71" s="96"/>
      <c r="F71" s="96"/>
      <c r="G71" s="99" t="s">
        <v>63</v>
      </c>
      <c r="H71" s="100"/>
      <c r="I71" s="100"/>
      <c r="J71" s="96"/>
      <c r="K71" s="96"/>
    </row>
    <row r="72" spans="2:12" ht="18" customHeight="1">
      <c r="B72" s="101" t="s">
        <v>64</v>
      </c>
      <c r="C72" s="101"/>
      <c r="D72" s="101"/>
      <c r="E72" s="101"/>
      <c r="F72" s="101"/>
      <c r="G72" s="101"/>
      <c r="H72" s="101"/>
      <c r="I72" s="101"/>
      <c r="J72" s="101"/>
      <c r="K72" s="6"/>
      <c r="L72" s="6"/>
    </row>
    <row r="73" spans="2:12" ht="32.15" customHeight="1">
      <c r="B73" s="29"/>
      <c r="C73" s="96"/>
      <c r="D73" s="96"/>
      <c r="E73" s="96"/>
      <c r="F73" s="96"/>
      <c r="G73" s="96"/>
      <c r="H73" s="96"/>
      <c r="I73" s="96"/>
      <c r="J73" s="96"/>
      <c r="K73" s="96"/>
    </row>
    <row r="74" spans="2:12">
      <c r="B74" s="101" t="s">
        <v>65</v>
      </c>
      <c r="C74" s="101"/>
      <c r="D74" s="101"/>
      <c r="E74" s="101"/>
      <c r="F74" s="101"/>
      <c r="G74" s="101"/>
      <c r="H74" s="101"/>
      <c r="I74" s="101"/>
      <c r="J74" s="101"/>
      <c r="K74" s="6"/>
      <c r="L74" s="6"/>
    </row>
    <row r="75" spans="2:12" ht="41.25" customHeight="1">
      <c r="B75" s="102" t="s">
        <v>66</v>
      </c>
      <c r="C75" s="102"/>
      <c r="D75" s="102"/>
      <c r="E75" s="102"/>
      <c r="F75" s="102"/>
      <c r="G75" s="102"/>
      <c r="H75" s="102"/>
      <c r="I75" s="102"/>
      <c r="J75" s="102"/>
      <c r="K75" s="103"/>
    </row>
    <row r="76" spans="2:12">
      <c r="B76" s="29"/>
      <c r="C76" s="96"/>
      <c r="D76" s="96"/>
      <c r="E76" s="96"/>
      <c r="F76" s="96"/>
      <c r="G76" s="96"/>
      <c r="H76" s="96"/>
      <c r="I76" s="96"/>
      <c r="J76" s="96"/>
      <c r="K76" s="96"/>
    </row>
    <row r="77" spans="2:12">
      <c r="B77" s="29"/>
      <c r="C77" s="96"/>
      <c r="D77" s="96"/>
      <c r="E77" s="96"/>
      <c r="F77" s="96"/>
      <c r="G77" s="96"/>
      <c r="H77" s="96"/>
      <c r="I77" s="96"/>
      <c r="J77" s="96"/>
      <c r="K77" s="96"/>
    </row>
    <row r="78" spans="2:12" ht="41.25" customHeight="1">
      <c r="B78" s="29"/>
      <c r="D78" s="95" t="s">
        <v>58</v>
      </c>
      <c r="E78" s="95"/>
      <c r="F78" s="95"/>
      <c r="G78" s="95"/>
      <c r="H78" s="96"/>
      <c r="I78" s="96"/>
      <c r="J78" s="96"/>
      <c r="K78" s="96"/>
    </row>
    <row r="79" spans="2:12">
      <c r="B79" s="96"/>
      <c r="D79" s="104" t="s">
        <v>67</v>
      </c>
      <c r="E79" s="104"/>
      <c r="F79" s="104"/>
      <c r="G79" s="104"/>
      <c r="H79" s="29"/>
      <c r="I79" s="29"/>
      <c r="J79" s="29"/>
      <c r="K79" s="29"/>
      <c r="L79" s="6"/>
    </row>
    <row r="80" spans="2:12" ht="27" customHeight="1">
      <c r="B80" s="96" t="s">
        <v>68</v>
      </c>
      <c r="D80" s="14" t="s">
        <v>69</v>
      </c>
      <c r="E80" s="105"/>
      <c r="F80" s="105"/>
      <c r="G80" s="105"/>
      <c r="H80" s="96"/>
      <c r="I80" s="96"/>
      <c r="J80" s="96"/>
      <c r="K80" s="96"/>
      <c r="L80" s="96"/>
    </row>
    <row r="81" spans="2:11" ht="27" customHeight="1">
      <c r="B81" s="96"/>
      <c r="D81" s="14" t="s">
        <v>70</v>
      </c>
      <c r="E81" s="106"/>
      <c r="F81" s="106"/>
      <c r="G81" s="106"/>
      <c r="H81" s="96"/>
      <c r="I81" s="96"/>
      <c r="J81" s="96"/>
      <c r="K81" s="96"/>
    </row>
  </sheetData>
  <mergeCells count="33">
    <mergeCell ref="B75:J75"/>
    <mergeCell ref="D78:G78"/>
    <mergeCell ref="D79:G79"/>
    <mergeCell ref="C69:D69"/>
    <mergeCell ref="G69:I69"/>
    <mergeCell ref="C70:D70"/>
    <mergeCell ref="G70:I70"/>
    <mergeCell ref="B72:J72"/>
    <mergeCell ref="B74:J74"/>
    <mergeCell ref="A55:A59"/>
    <mergeCell ref="E55:H55"/>
    <mergeCell ref="B56:B57"/>
    <mergeCell ref="C56:H56"/>
    <mergeCell ref="B62:H62"/>
    <mergeCell ref="B64:J65"/>
    <mergeCell ref="B37:J37"/>
    <mergeCell ref="A39:A43"/>
    <mergeCell ref="B40:F40"/>
    <mergeCell ref="B45:J46"/>
    <mergeCell ref="A48:A53"/>
    <mergeCell ref="B49:F49"/>
    <mergeCell ref="B23:C23"/>
    <mergeCell ref="B24:C24"/>
    <mergeCell ref="B25:C25"/>
    <mergeCell ref="B26:C26"/>
    <mergeCell ref="B27:C27"/>
    <mergeCell ref="B31:J31"/>
    <mergeCell ref="B3:J3"/>
    <mergeCell ref="B13:H13"/>
    <mergeCell ref="B21:C22"/>
    <mergeCell ref="D21:G21"/>
    <mergeCell ref="H21:H22"/>
    <mergeCell ref="I21:I22"/>
  </mergeCells>
  <pageMargins left="0.7" right="0.7" top="0.75" bottom="0.75" header="0.3" footer="0.3"/>
  <pageSetup scale="37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SANTA ANITA DEL CARMEN ABAS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 Guamán</dc:creator>
  <cp:lastModifiedBy>Mishell Guamán</cp:lastModifiedBy>
  <dcterms:created xsi:type="dcterms:W3CDTF">2026-08-18T20:31:13Z</dcterms:created>
  <dcterms:modified xsi:type="dcterms:W3CDTF">2026-08-18T20:31:34Z</dcterms:modified>
</cp:coreProperties>
</file>