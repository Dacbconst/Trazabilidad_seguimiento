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aman\Downloads\"/>
    </mc:Choice>
  </mc:AlternateContent>
  <xr:revisionPtr revIDLastSave="0" documentId="8_{D1A95338-C6F9-4767-968D-F3C784FEA3E4}" xr6:coauthVersionLast="47" xr6:coauthVersionMax="47" xr10:uidLastSave="{00000000-0000-0000-0000-000000000000}"/>
  <bookViews>
    <workbookView xWindow="-110" yWindow="-110" windowWidth="19420" windowHeight="11500" xr2:uid="{FC7235F9-7119-4760-B5CD-115A55C2FF7B}"/>
  </bookViews>
  <sheets>
    <sheet name="QUILUMBA VALDIVIESO DARWIN PA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6" i="1" l="1"/>
  <c r="E26" i="1"/>
  <c r="D26" i="1"/>
  <c r="G25" i="1"/>
  <c r="I25" i="1" s="1"/>
  <c r="G24" i="1"/>
  <c r="I24" i="1" s="1"/>
  <c r="G23" i="1"/>
  <c r="I23" i="1" s="1"/>
  <c r="G22" i="1"/>
  <c r="G26" i="1" s="1"/>
  <c r="I22" i="1" l="1"/>
  <c r="I26" i="1" s="1"/>
</calcChain>
</file>

<file path=xl/sharedStrings.xml><?xml version="1.0" encoding="utf-8"?>
<sst xmlns="http://schemas.openxmlformats.org/spreadsheetml/2006/main" count="50" uniqueCount="46">
  <si>
    <t>ACUERDO COMERCIAL CANAL DISTRIBUIDORES</t>
  </si>
  <si>
    <t xml:space="preserve">Estimado(a) </t>
  </si>
  <si>
    <t>LOCALIDAD</t>
  </si>
  <si>
    <t>Fecha:</t>
  </si>
  <si>
    <t>QUILUMBA VALDIVIESO DARWIN PATRICIO</t>
  </si>
  <si>
    <t>ASERTIA IBARRA</t>
  </si>
  <si>
    <t>De mis consideraciones:</t>
  </si>
  <si>
    <r>
      <rPr>
        <b/>
        <sz val="12"/>
        <color theme="1"/>
        <rFont val="Arial"/>
        <family val="2"/>
      </rPr>
      <t>JABONERÍA WILSON S.A.</t>
    </r>
    <r>
      <rPr>
        <sz val="12"/>
        <color theme="1"/>
        <rFont val="Arial"/>
        <family val="2"/>
      </rPr>
      <t xml:space="preserve"> y </t>
    </r>
    <r>
      <rPr>
        <b/>
        <sz val="12"/>
        <color theme="1"/>
        <rFont val="Arial"/>
        <family val="2"/>
      </rPr>
      <t xml:space="preserve">QUILUMBA VALDIVIESO DARWIN PATRICIO </t>
    </r>
    <r>
      <rPr>
        <sz val="12"/>
        <color theme="1"/>
        <rFont val="Arial"/>
        <family val="2"/>
      </rPr>
      <t>celebran el presente acuerdo de desarrollo de negocios.</t>
    </r>
  </si>
  <si>
    <t xml:space="preserve">Periodo del acuerdo: </t>
  </si>
  <si>
    <t>ABRIL MAYO JUNIO 2026</t>
  </si>
  <si>
    <t>1.  META DE COMPRAS EN CAJAS</t>
  </si>
  <si>
    <t>Cajas compradas por categoría sin considerar cajas a título gratuito por bonificación/descuentos.</t>
  </si>
  <si>
    <t>CATEGORIAS</t>
  </si>
  <si>
    <t>META EN CAJAS</t>
  </si>
  <si>
    <t>REBATE</t>
  </si>
  <si>
    <t>CAJAS ESTIMADAS A GANAR</t>
  </si>
  <si>
    <t>MES 1</t>
  </si>
  <si>
    <t>MES 2</t>
  </si>
  <si>
    <t>MES 3</t>
  </si>
  <si>
    <t>TOTAL PERÍODO</t>
  </si>
  <si>
    <t>Barra detergente EL MACHO</t>
  </si>
  <si>
    <t>Crema Lavavajillas LAVA</t>
  </si>
  <si>
    <t xml:space="preserve">Líquidos </t>
  </si>
  <si>
    <t>Polvo detergente GOL</t>
  </si>
  <si>
    <t>TOTAL</t>
  </si>
  <si>
    <t>Condiciones:</t>
  </si>
  <si>
    <t>a)  Cumplir con la meta del período en cajas netas al 100%.</t>
  </si>
  <si>
    <t>b)  Para liquidación del rebate se debe considerar:
- Cumplir con el 100% de la cuota total del período.
- Compra mínima del 80% de la meta asignada en todas las categorías. No se reconocerá el pago del rebate de la categoría con un cumplimiento por debajo del 80%.</t>
  </si>
  <si>
    <t>c)  Al final del período no se deben mantener saldos vencidos de cartera con el distribuidor asignado.</t>
  </si>
  <si>
    <r>
      <t xml:space="preserve">d) Solo se cancelará hasta el </t>
    </r>
    <r>
      <rPr>
        <b/>
        <sz val="12"/>
        <color rgb="FFFF0000"/>
        <rFont val="Arial"/>
        <family val="2"/>
      </rPr>
      <t>110%</t>
    </r>
    <r>
      <rPr>
        <sz val="12"/>
        <rFont val="Arial"/>
        <family val="2"/>
      </rPr>
      <t xml:space="preserve"> de cumplimiento total y por categoría.</t>
    </r>
  </si>
  <si>
    <t>CONSIDERACIONES GENERALES</t>
  </si>
  <si>
    <t>Al cierre de cada mes, usted nos facilitará la información de su inventario.</t>
  </si>
  <si>
    <t>ES OBLIGATORIO</t>
  </si>
  <si>
    <t>La liquidación del acuerdo se realizará al finalizar el período. El pago total sera reconocido a través de producto.</t>
  </si>
  <si>
    <t>Como constancia del presente convenio, firman de común acuerdo las partes.</t>
  </si>
  <si>
    <t>OBLIGATORIO</t>
  </si>
  <si>
    <t>Desarrollador de Mercado</t>
  </si>
  <si>
    <t>Asesor Comercial  (distribuidor)</t>
  </si>
  <si>
    <t>Nombre:</t>
  </si>
  <si>
    <t>JEFE  COMERCIAL</t>
  </si>
  <si>
    <t>ACEPTACIÓN DEL PRESENTE CONVENIO POR PARTE DEL CLIENTE</t>
  </si>
  <si>
    <t>El CLIENTE declara expresamente que ha suscrito este Acuerdo a su entera satisfacción y entendimiento, de manera libre y voluntaria, por lo que nada tiene que reclamar sobre el contenido, la aplicación y/o ejecución del mismo.</t>
  </si>
  <si>
    <t>FIRMA DEL CLIENTE</t>
  </si>
  <si>
    <t xml:space="preserve">                                                        C.I.                                                                                                                                                </t>
  </si>
  <si>
    <t>RAZÓN SOCIAL:</t>
  </si>
  <si>
    <t>C.I.: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</si>
</sst>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 * #,##0.0_ ;_ * \-#,##0.0_ ;_ * &quot;-&quot;??_ ;_ @_ "/>
    <numFmt numFmtId="166" formatCode="[$$-409]#,##0"/>
    <numFmt numFmtId="167" formatCode="[$$-409]#,##0.00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i/>
      <sz val="12"/>
      <color rgb="FF222222"/>
      <name val="Arial"/>
      <family val="2"/>
    </font>
    <font>
      <i/>
      <sz val="12"/>
      <color rgb="FF222222"/>
      <name val="Arial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17" fontId="5" fillId="2" borderId="10" xfId="1" applyNumberFormat="1" applyFont="1" applyFill="1" applyBorder="1" applyAlignment="1">
      <alignment horizontal="center" vertical="center" wrapText="1"/>
    </xf>
    <xf numFmtId="17" fontId="5" fillId="2" borderId="11" xfId="1" applyNumberFormat="1" applyFont="1" applyFill="1" applyBorder="1" applyAlignment="1">
      <alignment horizontal="center" vertical="center" wrapText="1"/>
    </xf>
    <xf numFmtId="17" fontId="5" fillId="2" borderId="12" xfId="1" applyNumberFormat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2" fillId="2" borderId="14" xfId="1" applyFont="1" applyFill="1" applyBorder="1" applyAlignment="1">
      <alignment horizontal="left" vertical="center" wrapText="1"/>
    </xf>
    <xf numFmtId="0" fontId="2" fillId="2" borderId="15" xfId="1" applyFont="1" applyFill="1" applyBorder="1" applyAlignment="1">
      <alignment horizontal="left" vertical="center" wrapText="1"/>
    </xf>
    <xf numFmtId="164" fontId="2" fillId="2" borderId="16" xfId="1" applyNumberFormat="1" applyFont="1" applyFill="1" applyBorder="1" applyAlignment="1">
      <alignment horizontal="center" vertical="center" wrapText="1"/>
    </xf>
    <xf numFmtId="164" fontId="2" fillId="2" borderId="17" xfId="1" applyNumberFormat="1" applyFont="1" applyFill="1" applyBorder="1" applyAlignment="1">
      <alignment horizontal="center" vertical="center" wrapText="1"/>
    </xf>
    <xf numFmtId="164" fontId="2" fillId="2" borderId="18" xfId="1" applyNumberFormat="1" applyFont="1" applyFill="1" applyBorder="1" applyAlignment="1">
      <alignment horizontal="center" vertical="center" wrapText="1"/>
    </xf>
    <xf numFmtId="164" fontId="2" fillId="2" borderId="18" xfId="1" applyNumberFormat="1" applyFont="1" applyFill="1" applyBorder="1" applyAlignment="1">
      <alignment vertical="center"/>
    </xf>
    <xf numFmtId="10" fontId="2" fillId="2" borderId="19" xfId="2" applyNumberFormat="1" applyFont="1" applyFill="1" applyBorder="1" applyAlignment="1">
      <alignment horizontal="center" vertical="center" wrapText="1"/>
    </xf>
    <xf numFmtId="165" fontId="2" fillId="2" borderId="19" xfId="3" applyNumberFormat="1" applyFont="1" applyFill="1" applyBorder="1" applyAlignment="1">
      <alignment horizontal="center" vertical="center" wrapText="1"/>
    </xf>
    <xf numFmtId="4" fontId="2" fillId="2" borderId="0" xfId="1" applyNumberFormat="1" applyFont="1" applyFill="1" applyAlignment="1">
      <alignment vertical="center"/>
    </xf>
    <xf numFmtId="2" fontId="2" fillId="2" borderId="0" xfId="1" applyNumberFormat="1" applyFont="1" applyFill="1" applyAlignment="1">
      <alignment vertical="center"/>
    </xf>
    <xf numFmtId="0" fontId="2" fillId="2" borderId="20" xfId="1" applyFont="1" applyFill="1" applyBorder="1" applyAlignment="1">
      <alignment horizontal="left" vertical="center" wrapText="1"/>
    </xf>
    <xf numFmtId="0" fontId="2" fillId="2" borderId="21" xfId="1" applyFont="1" applyFill="1" applyBorder="1" applyAlignment="1">
      <alignment horizontal="left" vertical="center" wrapText="1"/>
    </xf>
    <xf numFmtId="164" fontId="2" fillId="2" borderId="22" xfId="1" applyNumberFormat="1" applyFont="1" applyFill="1" applyBorder="1" applyAlignment="1">
      <alignment horizontal="center" vertical="center" wrapText="1"/>
    </xf>
    <xf numFmtId="164" fontId="2" fillId="2" borderId="23" xfId="1" applyNumberFormat="1" applyFont="1" applyFill="1" applyBorder="1" applyAlignment="1">
      <alignment horizontal="center" vertical="center" wrapText="1"/>
    </xf>
    <xf numFmtId="10" fontId="2" fillId="2" borderId="24" xfId="2" applyNumberFormat="1" applyFont="1" applyFill="1" applyBorder="1" applyAlignment="1">
      <alignment horizontal="center" vertical="center" wrapText="1"/>
    </xf>
    <xf numFmtId="0" fontId="2" fillId="2" borderId="20" xfId="4" applyFont="1" applyFill="1" applyBorder="1" applyAlignment="1">
      <alignment horizontal="left" vertical="center" wrapText="1"/>
    </xf>
    <xf numFmtId="0" fontId="2" fillId="2" borderId="21" xfId="4" applyFont="1" applyFill="1" applyBorder="1" applyAlignment="1">
      <alignment horizontal="left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2" fontId="5" fillId="2" borderId="27" xfId="1" applyNumberFormat="1" applyFont="1" applyFill="1" applyBorder="1" applyAlignment="1">
      <alignment horizontal="center" vertical="center" wrapText="1"/>
    </xf>
    <xf numFmtId="2" fontId="5" fillId="2" borderId="28" xfId="1" applyNumberFormat="1" applyFont="1" applyFill="1" applyBorder="1" applyAlignment="1">
      <alignment horizontal="center" vertical="center" wrapText="1"/>
    </xf>
    <xf numFmtId="166" fontId="5" fillId="2" borderId="29" xfId="1" applyNumberFormat="1" applyFont="1" applyFill="1" applyBorder="1" applyAlignment="1">
      <alignment horizontal="center" vertical="center" wrapText="1"/>
    </xf>
    <xf numFmtId="1" fontId="5" fillId="2" borderId="29" xfId="1" applyNumberFormat="1" applyFont="1" applyFill="1" applyBorder="1" applyAlignment="1">
      <alignment horizontal="center" vertical="center" wrapText="1"/>
    </xf>
    <xf numFmtId="167" fontId="2" fillId="2" borderId="0" xfId="1" applyNumberFormat="1" applyFont="1" applyFill="1" applyAlignment="1">
      <alignment vertical="center"/>
    </xf>
    <xf numFmtId="10" fontId="2" fillId="2" borderId="0" xfId="2" applyNumberFormat="1" applyFont="1" applyFill="1" applyAlignment="1">
      <alignment vertical="center"/>
    </xf>
    <xf numFmtId="166" fontId="2" fillId="2" borderId="0" xfId="1" applyNumberFormat="1" applyFont="1" applyFill="1" applyAlignment="1">
      <alignment vertical="center"/>
    </xf>
    <xf numFmtId="0" fontId="2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vertical="center"/>
    </xf>
    <xf numFmtId="0" fontId="2" fillId="2" borderId="0" xfId="1" applyFont="1" applyFill="1" applyAlignment="1">
      <alignment wrapText="1"/>
    </xf>
    <xf numFmtId="0" fontId="10" fillId="2" borderId="0" xfId="1" applyFont="1" applyFill="1" applyAlignment="1">
      <alignment wrapText="1"/>
    </xf>
    <xf numFmtId="0" fontId="2" fillId="2" borderId="3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vertical="center" wrapText="1"/>
    </xf>
    <xf numFmtId="0" fontId="5" fillId="2" borderId="31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</cellXfs>
  <cellStyles count="5">
    <cellStyle name="Millares 2" xfId="3" xr:uid="{69CB8A9E-9AF2-4420-9D37-E1AD4679C9EA}"/>
    <cellStyle name="Normal" xfId="0" builtinId="0"/>
    <cellStyle name="Normal 2" xfId="1" xr:uid="{04A52D3F-DC27-46FA-9E7D-98E7C24231D7}"/>
    <cellStyle name="Normal 4" xfId="4" xr:uid="{F01073DE-5AA8-4C85-A688-CFD1A2A6BF86}"/>
    <cellStyle name="Porcentaje 2" xfId="2" xr:uid="{BB23B601-4846-4C40-8B4D-19B2F6E709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169333</xdr:colOff>
      <xdr:row>0</xdr:row>
      <xdr:rowOff>105833</xdr:rowOff>
    </xdr:from>
    <xdr:to>
      <xdr:col>6</xdr:col>
      <xdr:colOff>82019</xdr:colOff>
      <xdr:row>1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C1A77F-B00C-490E-AA8D-25F889AA3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33" y="105833"/>
          <a:ext cx="4745036" cy="1049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7EBD-0994-46AC-92CD-051C255B8350}">
  <sheetPr>
    <pageSetUpPr fitToPage="1"/>
  </sheetPr>
  <dimension ref="A1:M60"/>
  <sheetViews>
    <sheetView showGridLines="0" tabSelected="1" topLeftCell="A17" zoomScale="60" zoomScaleNormal="60" workbookViewId="0">
      <selection activeCell="B36" sqref="B36"/>
    </sheetView>
  </sheetViews>
  <sheetFormatPr baseColWidth="10" defaultColWidth="11.453125" defaultRowHeight="15.5" x14ac:dyDescent="0.35"/>
  <cols>
    <col min="1" max="1" width="4.81640625" style="1" bestFit="1" customWidth="1"/>
    <col min="2" max="2" width="26.7265625" style="2" customWidth="1"/>
    <col min="3" max="3" width="42.08984375" style="1" customWidth="1"/>
    <col min="4" max="4" width="35.6328125" style="1" bestFit="1" customWidth="1"/>
    <col min="5" max="5" width="13.81640625" style="1" bestFit="1" customWidth="1"/>
    <col min="6" max="6" width="19.7265625" style="1" bestFit="1" customWidth="1"/>
    <col min="7" max="7" width="13.7265625" style="1" bestFit="1" customWidth="1"/>
    <col min="8" max="8" width="15.26953125" style="1" customWidth="1"/>
    <col min="9" max="9" width="13.7265625" style="1" customWidth="1"/>
    <col min="10" max="10" width="13.1796875" style="1" customWidth="1"/>
    <col min="11" max="16384" width="11.453125" style="1"/>
  </cols>
  <sheetData>
    <row r="1" spans="1:12" ht="83.5" customHeight="1" x14ac:dyDescent="0.35">
      <c r="B1" s="1"/>
    </row>
    <row r="2" spans="1:12" ht="18" x14ac:dyDescent="0.35">
      <c r="D2" s="3"/>
    </row>
    <row r="3" spans="1:12" ht="20" x14ac:dyDescent="0.35">
      <c r="B3" s="4" t="s">
        <v>0</v>
      </c>
      <c r="C3" s="4"/>
      <c r="D3" s="4"/>
      <c r="E3" s="4"/>
      <c r="F3" s="4"/>
      <c r="G3" s="4"/>
      <c r="H3" s="4"/>
      <c r="I3" s="4"/>
      <c r="J3" s="4"/>
      <c r="K3" s="5"/>
      <c r="L3" s="6"/>
    </row>
    <row r="6" spans="1:12" x14ac:dyDescent="0.35">
      <c r="B6" s="2" t="s">
        <v>1</v>
      </c>
      <c r="D6" s="1" t="s">
        <v>2</v>
      </c>
      <c r="G6" s="1" t="s">
        <v>3</v>
      </c>
    </row>
    <row r="7" spans="1:12" x14ac:dyDescent="0.35">
      <c r="B7" s="2" t="s">
        <v>4</v>
      </c>
      <c r="D7" s="1" t="s">
        <v>5</v>
      </c>
    </row>
    <row r="10" spans="1:12" x14ac:dyDescent="0.35">
      <c r="B10" s="2" t="s">
        <v>6</v>
      </c>
    </row>
    <row r="12" spans="1:12" ht="15.75" customHeight="1" x14ac:dyDescent="0.35">
      <c r="B12" s="7" t="s">
        <v>7</v>
      </c>
      <c r="C12" s="7"/>
      <c r="D12" s="7"/>
      <c r="E12" s="7"/>
      <c r="F12" s="7"/>
      <c r="G12" s="7"/>
      <c r="H12" s="7"/>
      <c r="I12" s="8"/>
      <c r="J12" s="8"/>
      <c r="K12" s="8"/>
      <c r="L12" s="8"/>
    </row>
    <row r="14" spans="1:12" x14ac:dyDescent="0.35">
      <c r="B14" s="9" t="s">
        <v>8</v>
      </c>
      <c r="C14" s="10" t="s">
        <v>9</v>
      </c>
      <c r="D14" s="10"/>
      <c r="E14" s="10"/>
      <c r="F14" s="10"/>
      <c r="G14" s="10"/>
      <c r="H14" s="10"/>
      <c r="I14" s="10"/>
    </row>
    <row r="16" spans="1:12" x14ac:dyDescent="0.35">
      <c r="A16" s="9"/>
      <c r="B16" s="9" t="s">
        <v>10</v>
      </c>
    </row>
    <row r="17" spans="2:13" x14ac:dyDescent="0.35">
      <c r="B17" s="9"/>
    </row>
    <row r="18" spans="2:13" x14ac:dyDescent="0.35">
      <c r="B18" s="2" t="s">
        <v>11</v>
      </c>
    </row>
    <row r="19" spans="2:13" ht="16" thickBot="1" x14ac:dyDescent="0.4">
      <c r="B19" s="9"/>
    </row>
    <row r="20" spans="2:13" s="17" customFormat="1" ht="15.65" customHeight="1" x14ac:dyDescent="0.35">
      <c r="B20" s="11" t="s">
        <v>12</v>
      </c>
      <c r="C20" s="12"/>
      <c r="D20" s="13" t="s">
        <v>13</v>
      </c>
      <c r="E20" s="14"/>
      <c r="F20" s="15"/>
      <c r="G20" s="15"/>
      <c r="H20" s="16" t="s">
        <v>14</v>
      </c>
      <c r="I20" s="16" t="s">
        <v>15</v>
      </c>
      <c r="J20" s="1"/>
      <c r="K20" s="1"/>
    </row>
    <row r="21" spans="2:13" ht="31.5" thickBot="1" x14ac:dyDescent="0.4">
      <c r="B21" s="18"/>
      <c r="C21" s="19"/>
      <c r="D21" s="20" t="s">
        <v>16</v>
      </c>
      <c r="E21" s="21" t="s">
        <v>17</v>
      </c>
      <c r="F21" s="22" t="s">
        <v>18</v>
      </c>
      <c r="G21" s="23" t="s">
        <v>19</v>
      </c>
      <c r="H21" s="24"/>
      <c r="I21" s="24"/>
      <c r="M21" s="25"/>
    </row>
    <row r="22" spans="2:13" x14ac:dyDescent="0.35">
      <c r="B22" s="26" t="s">
        <v>20</v>
      </c>
      <c r="C22" s="27"/>
      <c r="D22" s="28">
        <v>16.237833333333334</v>
      </c>
      <c r="E22" s="29">
        <v>16.237833333333334</v>
      </c>
      <c r="F22" s="30">
        <v>16.237833333333334</v>
      </c>
      <c r="G22" s="31">
        <f>SUM(D22:F22)</f>
        <v>48.713500000000003</v>
      </c>
      <c r="H22" s="32">
        <v>1.4999999999999999E-2</v>
      </c>
      <c r="I22" s="33">
        <f>H22*G22</f>
        <v>0.73070250000000003</v>
      </c>
      <c r="L22" s="34"/>
      <c r="M22" s="35"/>
    </row>
    <row r="23" spans="2:13" x14ac:dyDescent="0.35">
      <c r="B23" s="36" t="s">
        <v>21</v>
      </c>
      <c r="C23" s="37"/>
      <c r="D23" s="38">
        <v>32.605925925925924</v>
      </c>
      <c r="E23" s="39">
        <v>32.605925925925924</v>
      </c>
      <c r="F23" s="30">
        <v>32.605925925925924</v>
      </c>
      <c r="G23" s="31">
        <f t="shared" ref="G23:G25" si="0">SUM(D23:F23)</f>
        <v>97.817777777777764</v>
      </c>
      <c r="H23" s="40">
        <v>2.5000000000000001E-2</v>
      </c>
      <c r="I23" s="33">
        <f t="shared" ref="I23:I25" si="1">H23*G23</f>
        <v>2.4454444444444441</v>
      </c>
      <c r="L23" s="34"/>
      <c r="M23" s="35"/>
    </row>
    <row r="24" spans="2:13" x14ac:dyDescent="0.35">
      <c r="B24" s="41" t="s">
        <v>22</v>
      </c>
      <c r="C24" s="42"/>
      <c r="D24" s="38">
        <v>8.6839999999999993</v>
      </c>
      <c r="E24" s="39">
        <v>8.6839999999999993</v>
      </c>
      <c r="F24" s="30">
        <v>8.6839999999999993</v>
      </c>
      <c r="G24" s="31">
        <f t="shared" si="0"/>
        <v>26.052</v>
      </c>
      <c r="H24" s="40">
        <v>0.01</v>
      </c>
      <c r="I24" s="33">
        <f t="shared" si="1"/>
        <v>0.26051999999999997</v>
      </c>
      <c r="L24" s="34"/>
      <c r="M24" s="35"/>
    </row>
    <row r="25" spans="2:13" ht="16" thickBot="1" x14ac:dyDescent="0.4">
      <c r="B25" s="36" t="s">
        <v>23</v>
      </c>
      <c r="C25" s="37"/>
      <c r="D25" s="38">
        <v>209.66399999999999</v>
      </c>
      <c r="E25" s="39">
        <v>209.66399999999999</v>
      </c>
      <c r="F25" s="30">
        <v>209.66399999999999</v>
      </c>
      <c r="G25" s="31">
        <f t="shared" si="0"/>
        <v>628.99199999999996</v>
      </c>
      <c r="H25" s="40">
        <v>2.5000000000000001E-2</v>
      </c>
      <c r="I25" s="33">
        <f t="shared" si="1"/>
        <v>15.7248</v>
      </c>
      <c r="L25" s="34"/>
      <c r="M25" s="35"/>
    </row>
    <row r="26" spans="2:13" ht="16" thickBot="1" x14ac:dyDescent="0.4">
      <c r="B26" s="43" t="s">
        <v>24</v>
      </c>
      <c r="C26" s="44"/>
      <c r="D26" s="45">
        <f>SUM(D22:D25)</f>
        <v>267.19175925925924</v>
      </c>
      <c r="E26" s="46">
        <f>SUM(E22:E25)</f>
        <v>267.19175925925924</v>
      </c>
      <c r="F26" s="46">
        <f>SUM(F22:F25)</f>
        <v>267.19175925925924</v>
      </c>
      <c r="G26" s="46">
        <f>SUM(G22:G25)</f>
        <v>801.57527777777773</v>
      </c>
      <c r="H26" s="47"/>
      <c r="I26" s="48">
        <f>SUM(I22:I25)</f>
        <v>19.161466944444445</v>
      </c>
      <c r="J26" s="49"/>
      <c r="K26" s="50"/>
      <c r="M26" s="35"/>
    </row>
    <row r="27" spans="2:13" x14ac:dyDescent="0.35">
      <c r="J27" s="51"/>
    </row>
    <row r="28" spans="2:13" x14ac:dyDescent="0.35">
      <c r="B28" s="1"/>
      <c r="J28" s="49"/>
    </row>
    <row r="29" spans="2:13" x14ac:dyDescent="0.35">
      <c r="B29" s="9" t="s">
        <v>25</v>
      </c>
    </row>
    <row r="30" spans="2:13" x14ac:dyDescent="0.35">
      <c r="B30" s="2" t="s">
        <v>26</v>
      </c>
    </row>
    <row r="31" spans="2:13" ht="69" customHeight="1" x14ac:dyDescent="0.35">
      <c r="B31" s="52" t="s">
        <v>27</v>
      </c>
      <c r="C31" s="52"/>
      <c r="D31" s="52"/>
      <c r="E31" s="52"/>
      <c r="F31" s="52"/>
      <c r="G31" s="52"/>
      <c r="H31" s="52"/>
      <c r="I31" s="52"/>
    </row>
    <row r="32" spans="2:13" x14ac:dyDescent="0.35">
      <c r="B32" s="2" t="s">
        <v>28</v>
      </c>
    </row>
    <row r="33" spans="2:12" x14ac:dyDescent="0.35">
      <c r="B33" s="2" t="s">
        <v>29</v>
      </c>
    </row>
    <row r="35" spans="2:12" x14ac:dyDescent="0.35">
      <c r="B35" s="53" t="s">
        <v>30</v>
      </c>
      <c r="C35" s="53"/>
      <c r="D35" s="53"/>
      <c r="E35" s="53"/>
      <c r="F35" s="53"/>
      <c r="G35" s="53"/>
      <c r="H35" s="53"/>
      <c r="I35" s="17"/>
      <c r="J35" s="17"/>
      <c r="K35" s="17"/>
      <c r="L35" s="17"/>
    </row>
    <row r="36" spans="2:12" x14ac:dyDescent="0.35">
      <c r="B36" s="2" t="s">
        <v>31</v>
      </c>
      <c r="C36" s="2"/>
      <c r="D36" s="2"/>
      <c r="E36" s="2"/>
      <c r="F36" s="2" t="s">
        <v>32</v>
      </c>
      <c r="G36" s="2"/>
      <c r="H36" s="2"/>
      <c r="I36" s="2"/>
      <c r="J36" s="2"/>
      <c r="K36" s="2"/>
      <c r="L36" s="2"/>
    </row>
    <row r="37" spans="2:12" ht="15.65" customHeight="1" x14ac:dyDescent="0.35">
      <c r="B37" s="52" t="s">
        <v>33</v>
      </c>
      <c r="C37" s="52"/>
      <c r="D37" s="52"/>
      <c r="E37" s="52"/>
      <c r="F37" s="52"/>
      <c r="G37" s="52"/>
      <c r="H37" s="52"/>
      <c r="I37" s="52"/>
      <c r="J37" s="52"/>
      <c r="K37" s="17"/>
    </row>
    <row r="38" spans="2:12" ht="19" customHeigh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4"/>
    </row>
    <row r="39" spans="2:12" ht="14.25" customHeight="1" x14ac:dyDescent="0.35">
      <c r="B39" s="55"/>
      <c r="C39" s="56"/>
      <c r="D39" s="56"/>
      <c r="E39" s="56"/>
      <c r="F39" s="56"/>
      <c r="G39" s="56"/>
      <c r="H39" s="56"/>
      <c r="I39" s="56"/>
      <c r="J39" s="56"/>
      <c r="K39" s="56"/>
      <c r="L39" s="56"/>
    </row>
    <row r="40" spans="2:12" x14ac:dyDescent="0.35">
      <c r="B40" s="1" t="s">
        <v>34</v>
      </c>
      <c r="I40" s="57"/>
      <c r="J40" s="57"/>
      <c r="K40" s="57"/>
      <c r="L40" s="57"/>
    </row>
    <row r="42" spans="2:12" ht="56.25" customHeight="1" x14ac:dyDescent="0.35">
      <c r="B42" s="1"/>
      <c r="C42" s="58" t="s">
        <v>35</v>
      </c>
      <c r="D42" s="58"/>
      <c r="G42" s="58" t="s">
        <v>35</v>
      </c>
      <c r="H42" s="58"/>
      <c r="I42" s="58"/>
    </row>
    <row r="43" spans="2:12" x14ac:dyDescent="0.35">
      <c r="B43" s="59"/>
      <c r="C43" s="60" t="s">
        <v>36</v>
      </c>
      <c r="D43" s="60"/>
      <c r="E43" s="59"/>
      <c r="F43" s="59"/>
      <c r="G43" s="60" t="s">
        <v>37</v>
      </c>
      <c r="H43" s="60"/>
      <c r="I43" s="60"/>
      <c r="J43" s="59"/>
      <c r="K43" s="59"/>
    </row>
    <row r="44" spans="2:12" x14ac:dyDescent="0.35">
      <c r="B44" s="59"/>
      <c r="C44" s="61" t="s">
        <v>38</v>
      </c>
      <c r="D44" s="62"/>
      <c r="E44" s="59"/>
      <c r="F44" s="59"/>
      <c r="G44" s="61" t="s">
        <v>38</v>
      </c>
      <c r="H44" s="62"/>
      <c r="I44" s="62"/>
      <c r="J44" s="59"/>
      <c r="K44" s="59"/>
    </row>
    <row r="45" spans="2:12" ht="18" customHeight="1" x14ac:dyDescent="0.35">
      <c r="B45" s="63"/>
      <c r="C45" s="63"/>
      <c r="D45" s="63"/>
      <c r="E45" s="63"/>
      <c r="F45" s="63"/>
      <c r="G45" s="63"/>
      <c r="H45" s="63"/>
      <c r="I45" s="63"/>
      <c r="J45" s="63"/>
      <c r="K45" s="6"/>
      <c r="L45" s="6"/>
    </row>
    <row r="46" spans="2:12" ht="18" customHeight="1" x14ac:dyDescent="0.35">
      <c r="B46" s="25"/>
      <c r="C46" s="25"/>
      <c r="D46" s="25"/>
      <c r="E46" s="25"/>
      <c r="F46" s="25"/>
      <c r="G46" s="25"/>
      <c r="H46" s="25"/>
      <c r="I46" s="25"/>
      <c r="J46" s="25"/>
      <c r="K46" s="6"/>
      <c r="L46" s="6"/>
    </row>
    <row r="47" spans="2:12" ht="18" customHeight="1" x14ac:dyDescent="0.35">
      <c r="B47" s="6"/>
      <c r="C47" s="6"/>
      <c r="D47" s="6"/>
      <c r="E47" s="58" t="s">
        <v>35</v>
      </c>
      <c r="F47" s="58"/>
      <c r="G47" s="6"/>
      <c r="H47" s="6"/>
      <c r="I47" s="6"/>
      <c r="J47" s="6"/>
      <c r="K47" s="6"/>
    </row>
    <row r="48" spans="2:12" ht="18" customHeight="1" x14ac:dyDescent="0.35">
      <c r="B48" s="25"/>
      <c r="C48" s="25"/>
      <c r="D48" s="25"/>
      <c r="E48" s="60" t="s">
        <v>39</v>
      </c>
      <c r="F48" s="60"/>
      <c r="G48" s="25"/>
      <c r="H48" s="25"/>
      <c r="I48" s="25"/>
      <c r="J48" s="25"/>
      <c r="K48" s="6"/>
    </row>
    <row r="49" spans="2:12" ht="18" customHeight="1" x14ac:dyDescent="0.35">
      <c r="B49" s="25"/>
      <c r="C49" s="25"/>
      <c r="D49" s="25"/>
      <c r="E49" s="61" t="s">
        <v>38</v>
      </c>
      <c r="F49" s="62"/>
      <c r="G49" s="25"/>
      <c r="H49" s="25"/>
      <c r="I49" s="25"/>
      <c r="J49" s="25"/>
      <c r="K49" s="6"/>
    </row>
    <row r="50" spans="2:12" x14ac:dyDescent="0.35"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 spans="2:12" x14ac:dyDescent="0.35">
      <c r="B51" s="25"/>
      <c r="C51" s="59"/>
      <c r="D51" s="59"/>
      <c r="E51" s="59"/>
      <c r="F51" s="59"/>
      <c r="G51" s="59"/>
      <c r="H51" s="59"/>
      <c r="I51" s="59"/>
      <c r="J51" s="59"/>
      <c r="K51" s="59"/>
    </row>
    <row r="52" spans="2:12" x14ac:dyDescent="0.35">
      <c r="B52" s="25"/>
      <c r="C52" s="59"/>
      <c r="D52" s="59"/>
      <c r="E52" s="59"/>
      <c r="F52" s="59"/>
      <c r="G52" s="59"/>
      <c r="H52" s="59"/>
      <c r="I52" s="59"/>
      <c r="J52" s="59"/>
      <c r="K52" s="59"/>
    </row>
    <row r="53" spans="2:12" x14ac:dyDescent="0.35">
      <c r="B53" s="63" t="s">
        <v>40</v>
      </c>
      <c r="C53" s="63"/>
      <c r="D53" s="63"/>
      <c r="E53" s="63"/>
      <c r="F53" s="63"/>
      <c r="G53" s="63"/>
      <c r="H53" s="63"/>
      <c r="I53" s="63"/>
      <c r="J53" s="63"/>
      <c r="K53" s="6"/>
      <c r="L53" s="6"/>
    </row>
    <row r="54" spans="2:12" ht="41.25" customHeight="1" x14ac:dyDescent="0.35">
      <c r="B54" s="64" t="s">
        <v>41</v>
      </c>
      <c r="C54" s="64"/>
      <c r="D54" s="64"/>
      <c r="E54" s="64"/>
      <c r="F54" s="64"/>
      <c r="G54" s="64"/>
      <c r="H54" s="64"/>
      <c r="I54" s="64"/>
      <c r="J54" s="64"/>
      <c r="K54" s="65"/>
    </row>
    <row r="55" spans="2:12" x14ac:dyDescent="0.35">
      <c r="B55" s="25"/>
      <c r="C55" s="59"/>
      <c r="D55" s="59"/>
      <c r="E55" s="59"/>
      <c r="F55" s="59"/>
      <c r="G55" s="59"/>
      <c r="H55" s="59"/>
      <c r="I55" s="59"/>
      <c r="J55" s="59"/>
      <c r="K55" s="59"/>
    </row>
    <row r="56" spans="2:12" x14ac:dyDescent="0.35">
      <c r="B56" s="25"/>
      <c r="C56" s="59"/>
      <c r="D56" s="59"/>
      <c r="E56" s="59"/>
      <c r="F56" s="59"/>
      <c r="G56" s="59"/>
      <c r="H56" s="59"/>
      <c r="I56" s="59"/>
      <c r="J56" s="59"/>
      <c r="K56" s="59"/>
    </row>
    <row r="57" spans="2:12" ht="41.25" customHeight="1" x14ac:dyDescent="0.35">
      <c r="B57" s="25"/>
      <c r="D57" s="59"/>
      <c r="E57" s="59"/>
      <c r="F57" s="59"/>
      <c r="G57" s="59"/>
      <c r="H57" s="59"/>
      <c r="I57" s="59"/>
      <c r="J57" s="59"/>
      <c r="K57" s="59"/>
    </row>
    <row r="58" spans="2:12" x14ac:dyDescent="0.35">
      <c r="B58" s="59"/>
      <c r="D58" s="66" t="s">
        <v>42</v>
      </c>
      <c r="E58" s="66"/>
      <c r="F58" s="66"/>
      <c r="G58" s="66"/>
      <c r="H58" s="25"/>
      <c r="I58" s="25"/>
      <c r="J58" s="25"/>
      <c r="K58" s="25"/>
      <c r="L58" s="6"/>
    </row>
    <row r="59" spans="2:12" ht="27" customHeight="1" x14ac:dyDescent="0.35">
      <c r="B59" s="59" t="s">
        <v>43</v>
      </c>
      <c r="D59" s="9" t="s">
        <v>44</v>
      </c>
      <c r="E59" s="67"/>
      <c r="F59" s="67"/>
      <c r="G59" s="67"/>
      <c r="H59" s="59"/>
      <c r="I59" s="59"/>
      <c r="J59" s="59"/>
      <c r="K59" s="59"/>
      <c r="L59" s="59"/>
    </row>
    <row r="60" spans="2:12" ht="27" customHeight="1" x14ac:dyDescent="0.35">
      <c r="B60" s="59"/>
      <c r="D60" s="9" t="s">
        <v>45</v>
      </c>
      <c r="E60" s="68"/>
      <c r="F60" s="68"/>
      <c r="G60" s="68"/>
      <c r="H60" s="59"/>
      <c r="I60" s="59"/>
      <c r="J60" s="59"/>
      <c r="K60" s="59"/>
    </row>
  </sheetData>
  <mergeCells count="24">
    <mergeCell ref="B45:J45"/>
    <mergeCell ref="E47:F47"/>
    <mergeCell ref="E48:F48"/>
    <mergeCell ref="B53:J53"/>
    <mergeCell ref="B54:J54"/>
    <mergeCell ref="D58:G58"/>
    <mergeCell ref="B35:H35"/>
    <mergeCell ref="B37:J38"/>
    <mergeCell ref="C42:D42"/>
    <mergeCell ref="G42:I42"/>
    <mergeCell ref="C43:D43"/>
    <mergeCell ref="G43:I43"/>
    <mergeCell ref="B22:C22"/>
    <mergeCell ref="B23:C23"/>
    <mergeCell ref="B24:C24"/>
    <mergeCell ref="B25:C25"/>
    <mergeCell ref="B26:C26"/>
    <mergeCell ref="B31:I31"/>
    <mergeCell ref="B3:J3"/>
    <mergeCell ref="B12:H12"/>
    <mergeCell ref="B20:C21"/>
    <mergeCell ref="D20:G20"/>
    <mergeCell ref="H20:H21"/>
    <mergeCell ref="I20:I21"/>
  </mergeCells>
  <pageMargins left="0.7" right="0.7" top="0.75" bottom="0.75" header="0.3" footer="0.3"/>
  <pageSetup scale="39" fitToHeight="0" orientation="portrait" horizontalDpi="200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QUILUMBA VALDIVIESO DARWIN PATR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 Guamán</dc:creator>
  <cp:lastModifiedBy>Mishell Guamán</cp:lastModifiedBy>
  <dcterms:created xsi:type="dcterms:W3CDTF">2026-08-18T20:31:48Z</dcterms:created>
  <dcterms:modified xsi:type="dcterms:W3CDTF">2026-08-18T20:32:17Z</dcterms:modified>
</cp:coreProperties>
</file>