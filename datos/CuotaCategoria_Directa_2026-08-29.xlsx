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E6104C10-EDB5-41E1-9ACE-3B7F99392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OTA CLIENTE - CATEGORÍA" sheetId="1" r:id="rId1"/>
    <sheet name="CUOTA TOTAL" sheetId="2" r:id="rId2"/>
    <sheet name="VISIBILIDAD " sheetId="3" r:id="rId3"/>
    <sheet name="RESUMEN DE PAG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D4" i="4"/>
  <c r="I6" i="3"/>
  <c r="H6" i="3"/>
  <c r="G6" i="3"/>
  <c r="J6" i="3" s="1"/>
  <c r="F6" i="3"/>
  <c r="E6" i="3"/>
  <c r="D6" i="3"/>
  <c r="P5" i="3"/>
  <c r="S5" i="3" s="1"/>
  <c r="O5" i="3"/>
  <c r="R5" i="3" s="1"/>
  <c r="N5" i="3"/>
  <c r="Q5" i="3" s="1"/>
  <c r="T5" i="3" s="1"/>
  <c r="D5" i="4" s="1"/>
  <c r="J5" i="3"/>
  <c r="P4" i="3"/>
  <c r="S4" i="3" s="1"/>
  <c r="O4" i="3"/>
  <c r="R4" i="3" s="1"/>
  <c r="N4" i="3"/>
  <c r="Q4" i="3" s="1"/>
  <c r="T4" i="3" s="1"/>
  <c r="D3" i="4" s="1"/>
  <c r="J4" i="3"/>
  <c r="P3" i="3"/>
  <c r="S3" i="3" s="1"/>
  <c r="O3" i="3"/>
  <c r="R3" i="3" s="1"/>
  <c r="N3" i="3"/>
  <c r="Q3" i="3" s="1"/>
  <c r="T3" i="3" s="1"/>
  <c r="J3" i="3"/>
  <c r="C7" i="2"/>
  <c r="C6" i="2"/>
  <c r="C5" i="2"/>
  <c r="C4" i="2"/>
  <c r="O15" i="1"/>
  <c r="N15" i="1"/>
  <c r="M15" i="1"/>
  <c r="J15" i="1"/>
  <c r="H15" i="1"/>
  <c r="G15" i="1"/>
  <c r="F15" i="1"/>
  <c r="Q14" i="1"/>
  <c r="I14" i="1"/>
  <c r="E14" i="1"/>
  <c r="Q13" i="1"/>
  <c r="R13" i="1" s="1"/>
  <c r="S13" i="1" s="1"/>
  <c r="I13" i="1"/>
  <c r="E13" i="1"/>
  <c r="Q12" i="1"/>
  <c r="R12" i="1" s="1"/>
  <c r="S12" i="1" s="1"/>
  <c r="I12" i="1"/>
  <c r="E12" i="1"/>
  <c r="Q11" i="1"/>
  <c r="R11" i="1" s="1"/>
  <c r="S11" i="1" s="1"/>
  <c r="I11" i="1"/>
  <c r="E11" i="1"/>
  <c r="Q10" i="1"/>
  <c r="R10" i="1" s="1"/>
  <c r="S10" i="1" s="1"/>
  <c r="I10" i="1"/>
  <c r="E10" i="1"/>
  <c r="Q9" i="1"/>
  <c r="I9" i="1"/>
  <c r="E9" i="1"/>
  <c r="Q8" i="1"/>
  <c r="R8" i="1" s="1"/>
  <c r="S8" i="1" s="1"/>
  <c r="I8" i="1"/>
  <c r="E8" i="1"/>
  <c r="Q7" i="1"/>
  <c r="R7" i="1" s="1"/>
  <c r="S7" i="1" s="1"/>
  <c r="I7" i="1"/>
  <c r="E7" i="1"/>
  <c r="Q6" i="1"/>
  <c r="I6" i="1"/>
  <c r="E6" i="1"/>
  <c r="Q5" i="1"/>
  <c r="R5" i="1" s="1"/>
  <c r="S5" i="1" s="1"/>
  <c r="I5" i="1"/>
  <c r="E5" i="1"/>
  <c r="Q4" i="1"/>
  <c r="I4" i="1"/>
  <c r="E4" i="1"/>
  <c r="I3" i="1"/>
  <c r="E3" i="1"/>
  <c r="R3" i="1" l="1"/>
  <c r="S3" i="1" s="1"/>
  <c r="Q15" i="1"/>
  <c r="R14" i="1"/>
  <c r="S14" i="1" s="1"/>
  <c r="D7" i="2"/>
  <c r="E7" i="2" s="1"/>
  <c r="F7" i="2" s="1"/>
  <c r="R9" i="1"/>
  <c r="S9" i="1" s="1"/>
  <c r="D6" i="2"/>
  <c r="E6" i="2" s="1"/>
  <c r="F6" i="2" s="1"/>
  <c r="R6" i="1"/>
  <c r="S6" i="1" s="1"/>
  <c r="D5" i="2"/>
  <c r="E5" i="2" s="1"/>
  <c r="F5" i="2" s="1"/>
  <c r="R4" i="1"/>
  <c r="S4" i="1" s="1"/>
  <c r="D4" i="2"/>
  <c r="E4" i="2" s="1"/>
  <c r="F4" i="2" s="1"/>
  <c r="T6" i="3"/>
  <c r="D2" i="4"/>
  <c r="D6" i="4" s="1"/>
  <c r="L14" i="1"/>
  <c r="K14" i="1"/>
  <c r="L13" i="1"/>
  <c r="K13" i="1"/>
  <c r="K12" i="1"/>
  <c r="L12" i="1"/>
  <c r="L11" i="1"/>
  <c r="K11" i="1"/>
  <c r="K10" i="1"/>
  <c r="L10" i="1"/>
  <c r="L9" i="1"/>
  <c r="K9" i="1"/>
  <c r="L8" i="1"/>
  <c r="K8" i="1"/>
  <c r="L7" i="1"/>
  <c r="K7" i="1"/>
  <c r="K6" i="1"/>
  <c r="L6" i="1"/>
  <c r="L5" i="1"/>
  <c r="K5" i="1"/>
  <c r="L4" i="1"/>
  <c r="K4" i="1"/>
  <c r="L3" i="1"/>
  <c r="I15" i="1"/>
  <c r="K3" i="1"/>
  <c r="K15" i="1" s="1"/>
  <c r="R15" i="1" l="1"/>
  <c r="T12" i="1"/>
  <c r="U12" i="1" s="1"/>
  <c r="V12" i="1" s="1"/>
  <c r="T13" i="1"/>
  <c r="U13" i="1" s="1"/>
  <c r="V13" i="1" s="1"/>
  <c r="T14" i="1"/>
  <c r="U14" i="1" s="1"/>
  <c r="V14" i="1" s="1"/>
  <c r="T11" i="1"/>
  <c r="U11" i="1" s="1"/>
  <c r="V11" i="1" s="1"/>
  <c r="T9" i="1"/>
  <c r="U9" i="1" s="1"/>
  <c r="V9" i="1" s="1"/>
  <c r="T10" i="1"/>
  <c r="U10" i="1" s="1"/>
  <c r="V10" i="1" s="1"/>
  <c r="T8" i="1"/>
  <c r="U8" i="1" s="1"/>
  <c r="V8" i="1" s="1"/>
  <c r="T7" i="1"/>
  <c r="U7" i="1" s="1"/>
  <c r="V7" i="1" s="1"/>
  <c r="T6" i="1"/>
  <c r="U6" i="1" s="1"/>
  <c r="V6" i="1" s="1"/>
  <c r="T5" i="1"/>
  <c r="U5" i="1" s="1"/>
  <c r="V5" i="1" s="1"/>
  <c r="T4" i="1"/>
  <c r="U4" i="1" s="1"/>
  <c r="V4" i="1" s="1"/>
  <c r="T3" i="1"/>
  <c r="U3" i="1" s="1"/>
  <c r="L15" i="1"/>
  <c r="C5" i="4" l="1"/>
  <c r="E5" i="4" s="1"/>
  <c r="C4" i="4"/>
  <c r="E4" i="4" s="1"/>
  <c r="C3" i="4"/>
  <c r="E3" i="4" s="1"/>
  <c r="V3" i="1"/>
  <c r="U15" i="1"/>
  <c r="V15" i="1" l="1"/>
  <c r="C2" i="4"/>
  <c r="E2" i="4" l="1"/>
  <c r="E6" i="4" s="1"/>
  <c r="C6" i="4"/>
</calcChain>
</file>

<file path=xl/sharedStrings.xml><?xml version="1.0" encoding="utf-8"?>
<sst xmlns="http://schemas.openxmlformats.org/spreadsheetml/2006/main" count="175" uniqueCount="52">
  <si>
    <t/>
  </si>
  <si>
    <t>VENTA Q1</t>
  </si>
  <si>
    <t>CEDI</t>
  </si>
  <si>
    <t>CLIENTE</t>
  </si>
  <si>
    <t>PLAN</t>
  </si>
  <si>
    <t>CATEGORIAS</t>
  </si>
  <si>
    <t>CONCAT</t>
  </si>
  <si>
    <t>ENERO</t>
  </si>
  <si>
    <t>FEBRERO</t>
  </si>
  <si>
    <t>MARZO</t>
  </si>
  <si>
    <t>TOTAL Q1</t>
  </si>
  <si>
    <t>REBATE A APLICAR %</t>
  </si>
  <si>
    <t>REBATE $</t>
  </si>
  <si>
    <t>REBATE MAXIMO 110%</t>
  </si>
  <si>
    <t>CARTERA</t>
  </si>
  <si>
    <t>CUMPLIMIENTO</t>
  </si>
  <si>
    <t>GANA POR CATEGORÍA</t>
  </si>
  <si>
    <t>GANA TOTAL</t>
  </si>
  <si>
    <t>PRE REBATE</t>
  </si>
  <si>
    <t>REBATE REAL VOL</t>
  </si>
  <si>
    <t>JAVIER MALDONADO</t>
  </si>
  <si>
    <t>ACOSTA SANTAMARIA EDGAR PATRICIO</t>
  </si>
  <si>
    <t>MAYORISTA</t>
  </si>
  <si>
    <t>AEROSOL</t>
  </si>
  <si>
    <t>PASTAS</t>
  </si>
  <si>
    <t>DISFALEP S.A.S.</t>
  </si>
  <si>
    <t>DISTRIBUIDORA NOVOA E HIJOS SOCIEDAD CIVIL</t>
  </si>
  <si>
    <t>DISTRIBUIDORA SUPERALIANZA S.A.S</t>
  </si>
  <si>
    <t>CREMA</t>
  </si>
  <si>
    <t>TOTAL</t>
  </si>
  <si>
    <t>Suma de TOTAL Q1</t>
  </si>
  <si>
    <t>Suma de VENTA Q1</t>
  </si>
  <si>
    <t>Cumplimiento</t>
  </si>
  <si>
    <t>Gana</t>
  </si>
  <si>
    <t>CANTIDAD</t>
  </si>
  <si>
    <t>PAGO</t>
  </si>
  <si>
    <t>MARCA</t>
  </si>
  <si>
    <t>VALIDACIÓN</t>
  </si>
  <si>
    <t>NOMBRES</t>
  </si>
  <si>
    <t>CABECERA</t>
  </si>
  <si>
    <t>ISLA</t>
  </si>
  <si>
    <t>PERCHA</t>
  </si>
  <si>
    <t>PAGO TOTAL</t>
  </si>
  <si>
    <t>OBSERVACION</t>
  </si>
  <si>
    <t>LARGOS - LARGOS - AMBIENTADOR</t>
  </si>
  <si>
    <t>DON VITTORIO - DON VITTORIO - SAPOLIO</t>
  </si>
  <si>
    <t>CORTOS - CORTOS</t>
  </si>
  <si>
    <t>CORTOS - CORTOS - AMBIENTADOR</t>
  </si>
  <si>
    <t>LARGOS - CORTOS - LAVAVAJILLAS</t>
  </si>
  <si>
    <t>DON VITTORIO - LAVA</t>
  </si>
  <si>
    <t>VOLUMEN</t>
  </si>
  <si>
    <t>VISIBILIDAD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</si>
</sst>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5" x14ac:knownFonts="1">
    <font>
      <sz val="11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4" fontId="3" fillId="8" borderId="1" xfId="0" applyNumberFormat="1" applyFont="1" applyFill="1" applyBorder="1"/>
    <xf numFmtId="10" fontId="3" fillId="8" borderId="1" xfId="0" applyNumberFormat="1" applyFont="1" applyFill="1" applyBorder="1"/>
    <xf numFmtId="44" fontId="0" fillId="0" borderId="1" xfId="0" applyNumberFormat="1" applyBorder="1"/>
    <xf numFmtId="10" fontId="0" fillId="0" borderId="1" xfId="0" applyNumberFormat="1" applyBorder="1"/>
    <xf numFmtId="0" fontId="4" fillId="0" borderId="1" xfId="0" applyFont="1" applyBorder="1"/>
    <xf numFmtId="44" fontId="4" fillId="0" borderId="1" xfId="0" applyNumberFormat="1" applyFont="1" applyBorder="1"/>
    <xf numFmtId="10" fontId="4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E1" workbookViewId="0">
      <selection activeCell="P3" sqref="P3:P14"/>
    </sheetView>
  </sheetViews>
  <sheetFormatPr baseColWidth="10" defaultRowHeight="14.4" x14ac:dyDescent="0.3"/>
  <cols>
    <col min="1" max="1" width="18" customWidth="1"/>
    <col min="2" max="2" width="44" customWidth="1"/>
    <col min="3" max="3" width="11" customWidth="1"/>
    <col min="4" max="4" width="12" customWidth="1"/>
    <col min="5" max="5" width="42" customWidth="1"/>
    <col min="6" max="9" width="15" customWidth="1"/>
    <col min="10" max="10" width="20" customWidth="1"/>
    <col min="11" max="11" width="15" customWidth="1"/>
    <col min="12" max="12" width="20" customWidth="1"/>
    <col min="13" max="15" width="15" customWidth="1"/>
    <col min="16" max="16" width="9" customWidth="1"/>
    <col min="17" max="17" width="15" customWidth="1"/>
    <col min="18" max="18" width="14" customWidth="1"/>
    <col min="19" max="19" width="20" customWidth="1"/>
    <col min="20" max="20" width="13" customWidth="1"/>
    <col min="21" max="21" width="15" customWidth="1"/>
    <col min="22" max="22" width="17" customWidth="1"/>
  </cols>
  <sheetData>
    <row r="1" spans="1:22" x14ac:dyDescent="0.3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19" t="s">
        <v>1</v>
      </c>
      <c r="N1" s="20"/>
      <c r="O1" s="20"/>
      <c r="P1" s="3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8" t="s">
        <v>0</v>
      </c>
    </row>
    <row r="2" spans="1:2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7</v>
      </c>
      <c r="N2" s="2" t="s">
        <v>8</v>
      </c>
      <c r="O2" s="2" t="s">
        <v>9</v>
      </c>
      <c r="P2" s="3" t="s">
        <v>14</v>
      </c>
      <c r="Q2" s="4" t="s">
        <v>1</v>
      </c>
      <c r="R2" s="4" t="s">
        <v>15</v>
      </c>
      <c r="S2" s="4" t="s">
        <v>16</v>
      </c>
      <c r="T2" s="4" t="s">
        <v>17</v>
      </c>
      <c r="U2" s="4" t="s">
        <v>18</v>
      </c>
      <c r="V2" s="5" t="s">
        <v>19</v>
      </c>
    </row>
    <row r="3" spans="1:22" x14ac:dyDescent="0.3">
      <c r="A3" t="s">
        <v>20</v>
      </c>
      <c r="B3" s="9" t="s">
        <v>21</v>
      </c>
      <c r="C3" t="s">
        <v>22</v>
      </c>
      <c r="D3" t="s">
        <v>23</v>
      </c>
      <c r="E3" t="str">
        <f t="shared" ref="E3:E14" si="0">_xlfn.CONCAT(B3,D3)</f>
        <v>ACOSTA SANTAMARIA EDGAR PATRICIOAEROSOL</v>
      </c>
      <c r="F3" s="10">
        <v>15</v>
      </c>
      <c r="G3" s="10">
        <v>15</v>
      </c>
      <c r="H3" s="10">
        <v>15</v>
      </c>
      <c r="I3" s="10">
        <f t="shared" ref="I3:I14" si="1">SUM(F3:H3)</f>
        <v>45</v>
      </c>
      <c r="J3" s="11">
        <v>0.05</v>
      </c>
      <c r="K3" s="12">
        <f t="shared" ref="K3:K14" si="2">I3*J3</f>
        <v>2.25</v>
      </c>
      <c r="L3" s="12">
        <f t="shared" ref="L3:L14" si="3">(I3*1.1)*J3</f>
        <v>2.4750000000000005</v>
      </c>
      <c r="M3">
        <v>50</v>
      </c>
      <c r="N3">
        <v>35</v>
      </c>
      <c r="O3">
        <v>120</v>
      </c>
      <c r="P3">
        <v>0</v>
      </c>
      <c r="Q3" s="12">
        <f>SUM(M3:P3)</f>
        <v>205</v>
      </c>
      <c r="R3" s="13">
        <f t="shared" ref="R3:R15" si="4">IFERROR(Q3/I3,0)</f>
        <v>4.5555555555555554</v>
      </c>
      <c r="S3" t="str">
        <f t="shared" ref="S3:S14" si="5">IF(R3&gt;=80%,"GANA","NO GANA")</f>
        <v>GANA</v>
      </c>
      <c r="T3" t="str">
        <f>VLOOKUP(B3,'CUOTA TOTAL'!$B$4:$F$7,5,FALSE)</f>
        <v>GANA</v>
      </c>
      <c r="U3" s="12">
        <f t="shared" ref="U3:U14" si="6">IF(AND(T3="GANA",S3="GANA"),Q3*J3,0)</f>
        <v>10.25</v>
      </c>
      <c r="V3" s="12">
        <f t="shared" ref="V3:V14" si="7">IF(U3&lt;=L3,U3,L3)</f>
        <v>2.4750000000000005</v>
      </c>
    </row>
    <row r="4" spans="1:22" x14ac:dyDescent="0.3">
      <c r="A4" t="s">
        <v>20</v>
      </c>
      <c r="B4" s="9" t="s">
        <v>21</v>
      </c>
      <c r="C4" t="s">
        <v>22</v>
      </c>
      <c r="D4" t="s">
        <v>23</v>
      </c>
      <c r="E4" t="str">
        <f t="shared" si="0"/>
        <v>ACOSTA SANTAMARIA EDGAR PATRICIOAEROSOL</v>
      </c>
      <c r="F4" s="10">
        <v>30</v>
      </c>
      <c r="G4" s="10">
        <v>30</v>
      </c>
      <c r="H4" s="10">
        <v>30</v>
      </c>
      <c r="I4" s="10">
        <f t="shared" si="1"/>
        <v>90</v>
      </c>
      <c r="J4" s="11">
        <v>0.08</v>
      </c>
      <c r="K4" s="12">
        <f t="shared" si="2"/>
        <v>7.2</v>
      </c>
      <c r="L4" s="12">
        <f t="shared" si="3"/>
        <v>7.9200000000000017</v>
      </c>
      <c r="M4">
        <v>50</v>
      </c>
      <c r="N4">
        <v>35</v>
      </c>
      <c r="O4">
        <v>20</v>
      </c>
      <c r="P4">
        <v>0</v>
      </c>
      <c r="Q4" s="12">
        <f t="shared" ref="Q3:Q14" si="8">SUM(M4:O4)</f>
        <v>105</v>
      </c>
      <c r="R4" s="13">
        <f t="shared" si="4"/>
        <v>1.1666666666666667</v>
      </c>
      <c r="S4" t="str">
        <f t="shared" si="5"/>
        <v>GANA</v>
      </c>
      <c r="T4" t="str">
        <f>VLOOKUP(B4,'CUOTA TOTAL'!$B$4:$F$7,5,FALSE)</f>
        <v>GANA</v>
      </c>
      <c r="U4" s="12">
        <f t="shared" si="6"/>
        <v>8.4</v>
      </c>
      <c r="V4" s="12">
        <f t="shared" si="7"/>
        <v>7.9200000000000017</v>
      </c>
    </row>
    <row r="5" spans="1:22" x14ac:dyDescent="0.3">
      <c r="A5" t="s">
        <v>20</v>
      </c>
      <c r="B5" s="9" t="s">
        <v>21</v>
      </c>
      <c r="C5" t="s">
        <v>22</v>
      </c>
      <c r="D5" t="s">
        <v>24</v>
      </c>
      <c r="E5" t="str">
        <f t="shared" si="0"/>
        <v>ACOSTA SANTAMARIA EDGAR PATRICIOPASTAS</v>
      </c>
      <c r="F5" s="10">
        <v>20</v>
      </c>
      <c r="G5" s="10">
        <v>2</v>
      </c>
      <c r="H5" s="10">
        <v>2</v>
      </c>
      <c r="I5" s="10">
        <f t="shared" si="1"/>
        <v>24</v>
      </c>
      <c r="J5" s="11">
        <v>0.5</v>
      </c>
      <c r="K5" s="12">
        <f t="shared" si="2"/>
        <v>12</v>
      </c>
      <c r="L5" s="12">
        <f t="shared" si="3"/>
        <v>13.200000000000001</v>
      </c>
      <c r="M5">
        <v>50</v>
      </c>
      <c r="N5">
        <v>35</v>
      </c>
      <c r="O5">
        <v>15</v>
      </c>
      <c r="P5">
        <v>0</v>
      </c>
      <c r="Q5" s="12">
        <f t="shared" si="8"/>
        <v>100</v>
      </c>
      <c r="R5" s="13">
        <f t="shared" si="4"/>
        <v>4.166666666666667</v>
      </c>
      <c r="S5" t="str">
        <f t="shared" si="5"/>
        <v>GANA</v>
      </c>
      <c r="T5" t="str">
        <f>VLOOKUP(B5,'CUOTA TOTAL'!$B$4:$F$7,5,FALSE)</f>
        <v>GANA</v>
      </c>
      <c r="U5" s="12">
        <f t="shared" si="6"/>
        <v>50</v>
      </c>
      <c r="V5" s="12">
        <f t="shared" si="7"/>
        <v>13.200000000000001</v>
      </c>
    </row>
    <row r="6" spans="1:22" x14ac:dyDescent="0.3">
      <c r="A6" t="s">
        <v>20</v>
      </c>
      <c r="B6" s="9" t="s">
        <v>25</v>
      </c>
      <c r="C6" t="s">
        <v>22</v>
      </c>
      <c r="D6" t="s">
        <v>23</v>
      </c>
      <c r="E6" t="str">
        <f t="shared" si="0"/>
        <v>DISFALEP S.A.S.AEROSOL</v>
      </c>
      <c r="F6" s="10">
        <v>2</v>
      </c>
      <c r="G6" s="10">
        <v>2</v>
      </c>
      <c r="H6" s="10">
        <v>2</v>
      </c>
      <c r="I6" s="10">
        <f t="shared" si="1"/>
        <v>6</v>
      </c>
      <c r="J6" s="11">
        <v>0.5</v>
      </c>
      <c r="K6" s="12">
        <f t="shared" si="2"/>
        <v>3</v>
      </c>
      <c r="L6" s="12">
        <f t="shared" si="3"/>
        <v>3.3000000000000003</v>
      </c>
      <c r="M6">
        <v>50</v>
      </c>
      <c r="N6">
        <v>35</v>
      </c>
      <c r="O6">
        <v>56</v>
      </c>
      <c r="P6">
        <v>0</v>
      </c>
      <c r="Q6" s="12">
        <f t="shared" si="8"/>
        <v>141</v>
      </c>
      <c r="R6" s="13">
        <f t="shared" si="4"/>
        <v>23.5</v>
      </c>
      <c r="S6" t="str">
        <f t="shared" si="5"/>
        <v>GANA</v>
      </c>
      <c r="T6" t="str">
        <f>VLOOKUP(B6,'CUOTA TOTAL'!$B$4:$F$7,5,FALSE)</f>
        <v>GANA</v>
      </c>
      <c r="U6" s="12">
        <f t="shared" si="6"/>
        <v>70.5</v>
      </c>
      <c r="V6" s="12">
        <f t="shared" si="7"/>
        <v>3.3000000000000003</v>
      </c>
    </row>
    <row r="7" spans="1:22" x14ac:dyDescent="0.3">
      <c r="A7" t="s">
        <v>20</v>
      </c>
      <c r="B7" s="9" t="s">
        <v>25</v>
      </c>
      <c r="C7" t="s">
        <v>22</v>
      </c>
      <c r="D7" t="s">
        <v>24</v>
      </c>
      <c r="E7" t="str">
        <f t="shared" si="0"/>
        <v>DISFALEP S.A.S.PASTAS</v>
      </c>
      <c r="F7" s="10">
        <v>20</v>
      </c>
      <c r="G7" s="10">
        <v>2</v>
      </c>
      <c r="H7" s="10">
        <v>20</v>
      </c>
      <c r="I7" s="10">
        <f t="shared" si="1"/>
        <v>42</v>
      </c>
      <c r="J7" s="11">
        <v>2</v>
      </c>
      <c r="K7" s="12">
        <f t="shared" si="2"/>
        <v>84</v>
      </c>
      <c r="L7" s="12">
        <f t="shared" si="3"/>
        <v>92.4</v>
      </c>
      <c r="M7">
        <v>50</v>
      </c>
      <c r="N7">
        <v>35</v>
      </c>
      <c r="O7">
        <v>1</v>
      </c>
      <c r="P7">
        <v>0</v>
      </c>
      <c r="Q7" s="12">
        <f t="shared" si="8"/>
        <v>86</v>
      </c>
      <c r="R7" s="13">
        <f t="shared" si="4"/>
        <v>2.0476190476190474</v>
      </c>
      <c r="S7" t="str">
        <f t="shared" si="5"/>
        <v>GANA</v>
      </c>
      <c r="T7" t="str">
        <f>VLOOKUP(B7,'CUOTA TOTAL'!$B$4:$F$7,5,FALSE)</f>
        <v>GANA</v>
      </c>
      <c r="U7" s="12">
        <f t="shared" si="6"/>
        <v>172</v>
      </c>
      <c r="V7" s="12">
        <f t="shared" si="7"/>
        <v>92.4</v>
      </c>
    </row>
    <row r="8" spans="1:22" x14ac:dyDescent="0.3">
      <c r="A8" t="s">
        <v>20</v>
      </c>
      <c r="B8" s="9" t="s">
        <v>25</v>
      </c>
      <c r="C8" t="s">
        <v>22</v>
      </c>
      <c r="D8" t="s">
        <v>24</v>
      </c>
      <c r="E8" t="str">
        <f t="shared" si="0"/>
        <v>DISFALEP S.A.S.PASTAS</v>
      </c>
      <c r="F8" s="10">
        <v>20</v>
      </c>
      <c r="G8" s="10">
        <v>2</v>
      </c>
      <c r="H8" s="10">
        <v>2</v>
      </c>
      <c r="I8" s="10">
        <f t="shared" si="1"/>
        <v>24</v>
      </c>
      <c r="J8" s="11">
        <v>0.5</v>
      </c>
      <c r="K8" s="12">
        <f t="shared" si="2"/>
        <v>12</v>
      </c>
      <c r="L8" s="12">
        <f t="shared" si="3"/>
        <v>13.200000000000001</v>
      </c>
      <c r="M8">
        <v>50</v>
      </c>
      <c r="N8">
        <v>35</v>
      </c>
      <c r="O8">
        <v>2</v>
      </c>
      <c r="P8">
        <v>0</v>
      </c>
      <c r="Q8" s="12">
        <f t="shared" si="8"/>
        <v>87</v>
      </c>
      <c r="R8" s="13">
        <f t="shared" si="4"/>
        <v>3.625</v>
      </c>
      <c r="S8" t="str">
        <f t="shared" si="5"/>
        <v>GANA</v>
      </c>
      <c r="T8" t="str">
        <f>VLOOKUP(B8,'CUOTA TOTAL'!$B$4:$F$7,5,FALSE)</f>
        <v>GANA</v>
      </c>
      <c r="U8" s="12">
        <f t="shared" si="6"/>
        <v>43.5</v>
      </c>
      <c r="V8" s="12">
        <f t="shared" si="7"/>
        <v>13.200000000000001</v>
      </c>
    </row>
    <row r="9" spans="1:22" x14ac:dyDescent="0.3">
      <c r="A9" t="s">
        <v>20</v>
      </c>
      <c r="B9" s="9" t="s">
        <v>26</v>
      </c>
      <c r="C9" t="s">
        <v>22</v>
      </c>
      <c r="D9" t="s">
        <v>23</v>
      </c>
      <c r="E9" t="str">
        <f t="shared" si="0"/>
        <v>DISTRIBUIDORA NOVOA E HIJOS SOCIEDAD CIVILAEROSOL</v>
      </c>
      <c r="F9" s="10">
        <v>13</v>
      </c>
      <c r="G9" s="10">
        <v>47</v>
      </c>
      <c r="H9" s="10">
        <v>2</v>
      </c>
      <c r="I9" s="10">
        <f t="shared" si="1"/>
        <v>62</v>
      </c>
      <c r="J9" s="11">
        <v>0</v>
      </c>
      <c r="K9" s="12">
        <f t="shared" si="2"/>
        <v>0</v>
      </c>
      <c r="L9" s="12">
        <f t="shared" si="3"/>
        <v>0</v>
      </c>
      <c r="M9">
        <v>50</v>
      </c>
      <c r="N9">
        <v>35</v>
      </c>
      <c r="O9">
        <v>23</v>
      </c>
      <c r="P9">
        <v>0</v>
      </c>
      <c r="Q9" s="12">
        <f t="shared" si="8"/>
        <v>108</v>
      </c>
      <c r="R9" s="13">
        <f t="shared" si="4"/>
        <v>1.7419354838709677</v>
      </c>
      <c r="S9" t="str">
        <f t="shared" si="5"/>
        <v>GANA</v>
      </c>
      <c r="T9" t="str">
        <f>VLOOKUP(B9,'CUOTA TOTAL'!$B$4:$F$7,5,FALSE)</f>
        <v>NO GANA</v>
      </c>
      <c r="U9" s="12">
        <f t="shared" si="6"/>
        <v>0</v>
      </c>
      <c r="V9" s="12">
        <f t="shared" si="7"/>
        <v>0</v>
      </c>
    </row>
    <row r="10" spans="1:22" x14ac:dyDescent="0.3">
      <c r="A10" t="s">
        <v>20</v>
      </c>
      <c r="B10" s="9" t="s">
        <v>26</v>
      </c>
      <c r="C10" t="s">
        <v>22</v>
      </c>
      <c r="D10" t="s">
        <v>23</v>
      </c>
      <c r="E10" t="str">
        <f t="shared" si="0"/>
        <v>DISTRIBUIDORA NOVOA E HIJOS SOCIEDAD CIVILAEROSOL</v>
      </c>
      <c r="F10" s="10">
        <v>25</v>
      </c>
      <c r="G10" s="10">
        <v>24</v>
      </c>
      <c r="H10" s="10">
        <v>24</v>
      </c>
      <c r="I10" s="10">
        <f t="shared" si="1"/>
        <v>73</v>
      </c>
      <c r="J10" s="11">
        <v>0</v>
      </c>
      <c r="K10" s="12">
        <f t="shared" si="2"/>
        <v>0</v>
      </c>
      <c r="L10" s="12">
        <f t="shared" si="3"/>
        <v>0</v>
      </c>
      <c r="M10">
        <v>50</v>
      </c>
      <c r="N10">
        <v>35</v>
      </c>
      <c r="O10">
        <v>23</v>
      </c>
      <c r="P10">
        <v>0</v>
      </c>
      <c r="Q10" s="12">
        <f t="shared" si="8"/>
        <v>108</v>
      </c>
      <c r="R10" s="13">
        <f t="shared" si="4"/>
        <v>1.4794520547945205</v>
      </c>
      <c r="S10" t="str">
        <f t="shared" si="5"/>
        <v>GANA</v>
      </c>
      <c r="T10" t="str">
        <f>VLOOKUP(B10,'CUOTA TOTAL'!$B$4:$F$7,5,FALSE)</f>
        <v>NO GANA</v>
      </c>
      <c r="U10" s="12">
        <f t="shared" si="6"/>
        <v>0</v>
      </c>
      <c r="V10" s="12">
        <f t="shared" si="7"/>
        <v>0</v>
      </c>
    </row>
    <row r="11" spans="1:22" x14ac:dyDescent="0.3">
      <c r="A11" t="s">
        <v>20</v>
      </c>
      <c r="B11" s="9" t="s">
        <v>26</v>
      </c>
      <c r="C11" t="s">
        <v>22</v>
      </c>
      <c r="D11" t="s">
        <v>24</v>
      </c>
      <c r="E11" t="str">
        <f t="shared" si="0"/>
        <v>DISTRIBUIDORA NOVOA E HIJOS SOCIEDAD CIVILPASTAS</v>
      </c>
      <c r="F11" s="10">
        <v>15</v>
      </c>
      <c r="G11" s="10">
        <v>257</v>
      </c>
      <c r="H11" s="10">
        <v>42</v>
      </c>
      <c r="I11" s="10">
        <f t="shared" si="1"/>
        <v>314</v>
      </c>
      <c r="J11" s="11">
        <v>0</v>
      </c>
      <c r="K11" s="12">
        <f t="shared" si="2"/>
        <v>0</v>
      </c>
      <c r="L11" s="12">
        <f t="shared" si="3"/>
        <v>0</v>
      </c>
      <c r="M11">
        <v>50</v>
      </c>
      <c r="N11">
        <v>35</v>
      </c>
      <c r="O11">
        <v>24</v>
      </c>
      <c r="P11">
        <v>0</v>
      </c>
      <c r="Q11" s="12">
        <f t="shared" si="8"/>
        <v>109</v>
      </c>
      <c r="R11" s="13">
        <f t="shared" si="4"/>
        <v>0.34713375796178342</v>
      </c>
      <c r="S11" t="str">
        <f t="shared" si="5"/>
        <v>NO GANA</v>
      </c>
      <c r="T11" t="str">
        <f>VLOOKUP(B11,'CUOTA TOTAL'!$B$4:$F$7,5,FALSE)</f>
        <v>NO GANA</v>
      </c>
      <c r="U11" s="12">
        <f t="shared" si="6"/>
        <v>0</v>
      </c>
      <c r="V11" s="12">
        <f t="shared" si="7"/>
        <v>0</v>
      </c>
    </row>
    <row r="12" spans="1:22" x14ac:dyDescent="0.3">
      <c r="A12" t="s">
        <v>20</v>
      </c>
      <c r="B12" s="9" t="s">
        <v>27</v>
      </c>
      <c r="C12" t="s">
        <v>22</v>
      </c>
      <c r="D12" t="s">
        <v>28</v>
      </c>
      <c r="E12" t="str">
        <f t="shared" si="0"/>
        <v>DISTRIBUIDORA SUPERALIANZA S.A.SCREMA</v>
      </c>
      <c r="F12" s="10">
        <v>10</v>
      </c>
      <c r="G12" s="10">
        <v>10</v>
      </c>
      <c r="H12" s="10">
        <v>10</v>
      </c>
      <c r="I12" s="10">
        <f t="shared" si="1"/>
        <v>30</v>
      </c>
      <c r="J12" s="11">
        <v>0.03</v>
      </c>
      <c r="K12" s="12">
        <f t="shared" si="2"/>
        <v>0.89999999999999991</v>
      </c>
      <c r="L12" s="12">
        <f t="shared" si="3"/>
        <v>0.99</v>
      </c>
      <c r="M12">
        <v>50</v>
      </c>
      <c r="N12">
        <v>35</v>
      </c>
      <c r="O12">
        <v>23</v>
      </c>
      <c r="P12">
        <v>0</v>
      </c>
      <c r="Q12" s="12">
        <f t="shared" si="8"/>
        <v>108</v>
      </c>
      <c r="R12" s="13">
        <f t="shared" si="4"/>
        <v>3.6</v>
      </c>
      <c r="S12" t="str">
        <f t="shared" si="5"/>
        <v>GANA</v>
      </c>
      <c r="T12" t="str">
        <f>VLOOKUP(B12,'CUOTA TOTAL'!$B$4:$F$7,5,FALSE)</f>
        <v>GANA</v>
      </c>
      <c r="U12" s="12">
        <f t="shared" si="6"/>
        <v>3.2399999999999998</v>
      </c>
      <c r="V12" s="12">
        <f t="shared" si="7"/>
        <v>0.99</v>
      </c>
    </row>
    <row r="13" spans="1:22" x14ac:dyDescent="0.3">
      <c r="A13" t="s">
        <v>20</v>
      </c>
      <c r="B13" s="9" t="s">
        <v>27</v>
      </c>
      <c r="C13" t="s">
        <v>22</v>
      </c>
      <c r="D13" t="s">
        <v>24</v>
      </c>
      <c r="E13" t="str">
        <f t="shared" si="0"/>
        <v>DISTRIBUIDORA SUPERALIANZA S.A.SPASTAS</v>
      </c>
      <c r="F13" s="10">
        <v>20</v>
      </c>
      <c r="G13" s="10">
        <v>20</v>
      </c>
      <c r="H13" s="10">
        <v>20</v>
      </c>
      <c r="I13" s="10">
        <f t="shared" si="1"/>
        <v>60</v>
      </c>
      <c r="J13" s="11">
        <v>0.04</v>
      </c>
      <c r="K13" s="12">
        <f t="shared" si="2"/>
        <v>2.4</v>
      </c>
      <c r="L13" s="12">
        <f t="shared" si="3"/>
        <v>2.64</v>
      </c>
      <c r="M13">
        <v>50</v>
      </c>
      <c r="N13">
        <v>35</v>
      </c>
      <c r="O13">
        <v>25</v>
      </c>
      <c r="P13">
        <v>0</v>
      </c>
      <c r="Q13" s="12">
        <f t="shared" si="8"/>
        <v>110</v>
      </c>
      <c r="R13" s="13">
        <f t="shared" si="4"/>
        <v>1.8333333333333333</v>
      </c>
      <c r="S13" t="str">
        <f t="shared" si="5"/>
        <v>GANA</v>
      </c>
      <c r="T13" t="str">
        <f>VLOOKUP(B13,'CUOTA TOTAL'!$B$4:$F$7,5,FALSE)</f>
        <v>GANA</v>
      </c>
      <c r="U13" s="12">
        <f t="shared" si="6"/>
        <v>4.4000000000000004</v>
      </c>
      <c r="V13" s="12">
        <f t="shared" si="7"/>
        <v>2.64</v>
      </c>
    </row>
    <row r="14" spans="1:22" x14ac:dyDescent="0.3">
      <c r="A14" t="s">
        <v>20</v>
      </c>
      <c r="B14" s="9" t="s">
        <v>27</v>
      </c>
      <c r="C14" t="s">
        <v>22</v>
      </c>
      <c r="D14" t="s">
        <v>24</v>
      </c>
      <c r="E14" t="str">
        <f t="shared" si="0"/>
        <v>DISTRIBUIDORA SUPERALIANZA S.A.SPASTAS</v>
      </c>
      <c r="F14" s="10">
        <v>15</v>
      </c>
      <c r="G14" s="10">
        <v>15</v>
      </c>
      <c r="H14" s="10">
        <v>15</v>
      </c>
      <c r="I14" s="10">
        <f t="shared" si="1"/>
        <v>45</v>
      </c>
      <c r="J14" s="11">
        <v>0.03</v>
      </c>
      <c r="K14" s="12">
        <f t="shared" si="2"/>
        <v>1.3499999999999999</v>
      </c>
      <c r="L14" s="12">
        <f t="shared" si="3"/>
        <v>1.4850000000000001</v>
      </c>
      <c r="M14">
        <v>50</v>
      </c>
      <c r="N14">
        <v>32</v>
      </c>
      <c r="O14">
        <v>30</v>
      </c>
      <c r="P14">
        <v>0</v>
      </c>
      <c r="Q14" s="12">
        <f t="shared" si="8"/>
        <v>112</v>
      </c>
      <c r="R14" s="13">
        <f t="shared" si="4"/>
        <v>2.4888888888888889</v>
      </c>
      <c r="S14" t="str">
        <f t="shared" si="5"/>
        <v>GANA</v>
      </c>
      <c r="T14" t="str">
        <f>VLOOKUP(B14,'CUOTA TOTAL'!$B$4:$F$7,5,FALSE)</f>
        <v>GANA</v>
      </c>
      <c r="U14" s="12">
        <f t="shared" si="6"/>
        <v>3.36</v>
      </c>
      <c r="V14" s="12">
        <f t="shared" si="7"/>
        <v>1.4850000000000001</v>
      </c>
    </row>
    <row r="15" spans="1:22" x14ac:dyDescent="0.3">
      <c r="A15" s="14" t="s">
        <v>29</v>
      </c>
      <c r="F15" s="15">
        <f t="shared" ref="F15:O15" si="9">SUBTOTAL(9,F3:F14)</f>
        <v>205</v>
      </c>
      <c r="G15" s="15">
        <f t="shared" si="9"/>
        <v>426</v>
      </c>
      <c r="H15" s="15">
        <f t="shared" si="9"/>
        <v>184</v>
      </c>
      <c r="I15" s="15">
        <f t="shared" si="9"/>
        <v>815</v>
      </c>
      <c r="J15" s="15">
        <f t="shared" si="9"/>
        <v>3.7299999999999995</v>
      </c>
      <c r="K15" s="15">
        <f t="shared" si="9"/>
        <v>125.10000000000001</v>
      </c>
      <c r="L15" s="15">
        <f t="shared" si="9"/>
        <v>137.61000000000001</v>
      </c>
      <c r="M15" s="15">
        <f t="shared" si="9"/>
        <v>600</v>
      </c>
      <c r="N15" s="15">
        <f t="shared" si="9"/>
        <v>417</v>
      </c>
      <c r="O15" s="15">
        <f t="shared" si="9"/>
        <v>362</v>
      </c>
      <c r="Q15" s="15">
        <f>SUBTOTAL(9,Q3:Q14)</f>
        <v>1379</v>
      </c>
      <c r="R15" s="16">
        <f t="shared" si="4"/>
        <v>1.6920245398773006</v>
      </c>
      <c r="U15" s="15">
        <f>SUBTOTAL(9,U3:U14)</f>
        <v>365.65</v>
      </c>
      <c r="V15" s="15">
        <f>SUBTOTAL(9,V3:V14)</f>
        <v>137.61000000000001</v>
      </c>
    </row>
  </sheetData>
  <mergeCells count="1"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7"/>
  <sheetViews>
    <sheetView workbookViewId="0"/>
  </sheetViews>
  <sheetFormatPr baseColWidth="10" defaultRowHeight="14.4" x14ac:dyDescent="0.3"/>
  <cols>
    <col min="1" max="1" width="18" customWidth="1"/>
    <col min="2" max="2" width="44" customWidth="1"/>
    <col min="3" max="4" width="18" customWidth="1"/>
    <col min="5" max="5" width="14" customWidth="1"/>
    <col min="6" max="6" width="13" customWidth="1"/>
  </cols>
  <sheetData>
    <row r="3" spans="1:6" x14ac:dyDescent="0.3">
      <c r="A3" s="14" t="s">
        <v>2</v>
      </c>
      <c r="B3" s="14" t="s">
        <v>3</v>
      </c>
      <c r="C3" s="14" t="s">
        <v>30</v>
      </c>
      <c r="D3" s="14" t="s">
        <v>31</v>
      </c>
      <c r="E3" s="14" t="s">
        <v>32</v>
      </c>
      <c r="F3" s="14" t="s">
        <v>33</v>
      </c>
    </row>
    <row r="4" spans="1:6" x14ac:dyDescent="0.3">
      <c r="A4" t="s">
        <v>20</v>
      </c>
      <c r="B4" t="s">
        <v>21</v>
      </c>
      <c r="C4" s="12">
        <f>SUMIF('CUOTA CLIENTE - CATEGORÍA'!$B$3:$B$14,B4,'CUOTA CLIENTE - CATEGORÍA'!$I$3:$I$14)</f>
        <v>159</v>
      </c>
      <c r="D4" s="12">
        <f>SUMIF('CUOTA CLIENTE - CATEGORÍA'!$B$3:$B$14,B4,'CUOTA CLIENTE - CATEGORÍA'!$Q$3:$Q$14)</f>
        <v>410</v>
      </c>
      <c r="E4" s="13">
        <f>IFERROR(D4/C4,0)</f>
        <v>2.5786163522012577</v>
      </c>
      <c r="F4" t="str">
        <f>IF(E4&gt;=99.99%,"GANA","NO GANA")</f>
        <v>GANA</v>
      </c>
    </row>
    <row r="5" spans="1:6" x14ac:dyDescent="0.3">
      <c r="A5" t="s">
        <v>20</v>
      </c>
      <c r="B5" t="s">
        <v>25</v>
      </c>
      <c r="C5" s="12">
        <f>SUMIF('CUOTA CLIENTE - CATEGORÍA'!$B$3:$B$14,B5,'CUOTA CLIENTE - CATEGORÍA'!$I$3:$I$14)</f>
        <v>72</v>
      </c>
      <c r="D5" s="12">
        <f>SUMIF('CUOTA CLIENTE - CATEGORÍA'!$B$3:$B$14,B5,'CUOTA CLIENTE - CATEGORÍA'!$Q$3:$Q$14)</f>
        <v>314</v>
      </c>
      <c r="E5" s="13">
        <f>IFERROR(D5/C5,0)</f>
        <v>4.3611111111111107</v>
      </c>
      <c r="F5" t="str">
        <f>IF(E5&gt;=99.99%,"GANA","NO GANA")</f>
        <v>GANA</v>
      </c>
    </row>
    <row r="6" spans="1:6" x14ac:dyDescent="0.3">
      <c r="A6" t="s">
        <v>20</v>
      </c>
      <c r="B6" t="s">
        <v>26</v>
      </c>
      <c r="C6" s="12">
        <f>SUMIF('CUOTA CLIENTE - CATEGORÍA'!$B$3:$B$14,B6,'CUOTA CLIENTE - CATEGORÍA'!$I$3:$I$14)</f>
        <v>449</v>
      </c>
      <c r="D6" s="12">
        <f>SUMIF('CUOTA CLIENTE - CATEGORÍA'!$B$3:$B$14,B6,'CUOTA CLIENTE - CATEGORÍA'!$Q$3:$Q$14)</f>
        <v>325</v>
      </c>
      <c r="E6" s="13">
        <f>IFERROR(D6/C6,0)</f>
        <v>0.72383073496659245</v>
      </c>
      <c r="F6" t="str">
        <f>IF(E6&gt;=99.99%,"GANA","NO GANA")</f>
        <v>NO GANA</v>
      </c>
    </row>
    <row r="7" spans="1:6" x14ac:dyDescent="0.3">
      <c r="A7" t="s">
        <v>20</v>
      </c>
      <c r="B7" t="s">
        <v>27</v>
      </c>
      <c r="C7" s="12">
        <f>SUMIF('CUOTA CLIENTE - CATEGORÍA'!$B$3:$B$14,B7,'CUOTA CLIENTE - CATEGORÍA'!$I$3:$I$14)</f>
        <v>135</v>
      </c>
      <c r="D7" s="12">
        <f>SUMIF('CUOTA CLIENTE - CATEGORÍA'!$B$3:$B$14,B7,'CUOTA CLIENTE - CATEGORÍA'!$Q$3:$Q$14)</f>
        <v>330</v>
      </c>
      <c r="E7" s="13">
        <f>IFERROR(D7/C7,0)</f>
        <v>2.4444444444444446</v>
      </c>
      <c r="F7" t="str">
        <f>IF(E7&gt;=99.99%,"GANA","NO GANA")</f>
        <v>GANA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workbookViewId="0"/>
  </sheetViews>
  <sheetFormatPr baseColWidth="10" defaultRowHeight="14.4" x14ac:dyDescent="0.3"/>
  <cols>
    <col min="1" max="1" width="18" customWidth="1"/>
    <col min="2" max="2" width="34" customWidth="1"/>
    <col min="3" max="3" width="11" customWidth="1"/>
    <col min="4" max="6" width="13" customWidth="1"/>
    <col min="7" max="10" width="15" customWidth="1"/>
    <col min="11" max="12" width="32" customWidth="1"/>
    <col min="13" max="13" width="39" customWidth="1"/>
    <col min="14" max="16" width="13" customWidth="1"/>
    <col min="17" max="20" width="15" customWidth="1"/>
    <col min="21" max="21" width="13" customWidth="1"/>
  </cols>
  <sheetData>
    <row r="1" spans="1:21" x14ac:dyDescent="0.3">
      <c r="A1" s="18" t="s">
        <v>0</v>
      </c>
      <c r="B1" s="18" t="s">
        <v>0</v>
      </c>
      <c r="C1" s="18" t="s">
        <v>0</v>
      </c>
      <c r="D1" s="21" t="s">
        <v>34</v>
      </c>
      <c r="E1" s="20"/>
      <c r="F1" s="20"/>
      <c r="G1" s="21" t="s">
        <v>35</v>
      </c>
      <c r="H1" s="20"/>
      <c r="I1" s="20"/>
      <c r="J1" s="18" t="s">
        <v>0</v>
      </c>
      <c r="K1" s="21" t="s">
        <v>36</v>
      </c>
      <c r="L1" s="20"/>
      <c r="M1" s="20"/>
      <c r="N1" s="21" t="s">
        <v>37</v>
      </c>
      <c r="O1" s="20"/>
      <c r="P1" s="20"/>
      <c r="Q1" s="18" t="s">
        <v>0</v>
      </c>
      <c r="R1" s="18" t="s">
        <v>0</v>
      </c>
      <c r="S1" s="18" t="s">
        <v>0</v>
      </c>
      <c r="T1" s="18" t="s">
        <v>0</v>
      </c>
      <c r="U1" s="18" t="s">
        <v>0</v>
      </c>
    </row>
    <row r="2" spans="1:21" x14ac:dyDescent="0.3">
      <c r="A2" s="17" t="s">
        <v>2</v>
      </c>
      <c r="B2" s="17" t="s">
        <v>38</v>
      </c>
      <c r="C2" s="17" t="s">
        <v>4</v>
      </c>
      <c r="D2" s="17" t="s">
        <v>39</v>
      </c>
      <c r="E2" s="17" t="s">
        <v>40</v>
      </c>
      <c r="F2" s="17" t="s">
        <v>41</v>
      </c>
      <c r="G2" s="17" t="s">
        <v>39</v>
      </c>
      <c r="H2" s="17" t="s">
        <v>40</v>
      </c>
      <c r="I2" s="17" t="s">
        <v>41</v>
      </c>
      <c r="J2" s="17" t="s">
        <v>42</v>
      </c>
      <c r="K2" s="17" t="s">
        <v>39</v>
      </c>
      <c r="L2" s="17" t="s">
        <v>40</v>
      </c>
      <c r="M2" s="17" t="s">
        <v>41</v>
      </c>
      <c r="N2" s="17" t="s">
        <v>39</v>
      </c>
      <c r="O2" s="17" t="s">
        <v>40</v>
      </c>
      <c r="P2" s="17" t="s">
        <v>41</v>
      </c>
      <c r="Q2" s="17" t="s">
        <v>39</v>
      </c>
      <c r="R2" s="17" t="s">
        <v>40</v>
      </c>
      <c r="S2" s="17" t="s">
        <v>41</v>
      </c>
      <c r="T2" s="17" t="s">
        <v>29</v>
      </c>
      <c r="U2" s="17" t="s">
        <v>43</v>
      </c>
    </row>
    <row r="3" spans="1:21" x14ac:dyDescent="0.3">
      <c r="A3" t="s">
        <v>20</v>
      </c>
      <c r="B3" s="9" t="s">
        <v>21</v>
      </c>
      <c r="C3" t="s">
        <v>22</v>
      </c>
      <c r="D3">
        <v>3</v>
      </c>
      <c r="E3">
        <v>3</v>
      </c>
      <c r="F3">
        <v>3</v>
      </c>
      <c r="G3" s="12">
        <v>165</v>
      </c>
      <c r="H3" s="12">
        <v>108</v>
      </c>
      <c r="I3" s="12">
        <v>72</v>
      </c>
      <c r="J3" s="12">
        <f>G3+H3+I3</f>
        <v>345</v>
      </c>
      <c r="K3" t="s">
        <v>44</v>
      </c>
      <c r="L3" t="s">
        <v>44</v>
      </c>
      <c r="M3" t="s">
        <v>45</v>
      </c>
      <c r="N3" t="str">
        <f t="shared" ref="N3:P5" si="0">IF(D3&gt;0,"CUMPLE","NO CUMPLE")</f>
        <v>CUMPLE</v>
      </c>
      <c r="O3" t="str">
        <f t="shared" si="0"/>
        <v>CUMPLE</v>
      </c>
      <c r="P3" t="str">
        <f t="shared" si="0"/>
        <v>CUMPLE</v>
      </c>
      <c r="Q3" s="12">
        <f t="shared" ref="Q3:S5" si="1">IF(N3="CUMPLE",G3,0)</f>
        <v>165</v>
      </c>
      <c r="R3" s="12">
        <f t="shared" si="1"/>
        <v>108</v>
      </c>
      <c r="S3" s="12">
        <f t="shared" si="1"/>
        <v>72</v>
      </c>
      <c r="T3" s="12">
        <f>SUM(Q3:S3)</f>
        <v>345</v>
      </c>
      <c r="U3" t="s">
        <v>0</v>
      </c>
    </row>
    <row r="4" spans="1:21" x14ac:dyDescent="0.3">
      <c r="A4" t="s">
        <v>20</v>
      </c>
      <c r="B4" s="9" t="s">
        <v>25</v>
      </c>
      <c r="C4" t="s">
        <v>22</v>
      </c>
      <c r="D4">
        <v>2</v>
      </c>
      <c r="E4">
        <v>3</v>
      </c>
      <c r="F4">
        <v>3</v>
      </c>
      <c r="G4" s="12">
        <v>36</v>
      </c>
      <c r="H4" s="12">
        <v>240</v>
      </c>
      <c r="I4" s="12">
        <v>29</v>
      </c>
      <c r="J4" s="12">
        <f>G4+H4+I4</f>
        <v>305</v>
      </c>
      <c r="K4" t="s">
        <v>46</v>
      </c>
      <c r="L4" t="s">
        <v>47</v>
      </c>
      <c r="M4" t="s">
        <v>45</v>
      </c>
      <c r="N4" t="str">
        <f t="shared" si="0"/>
        <v>CUMPLE</v>
      </c>
      <c r="O4" t="str">
        <f t="shared" si="0"/>
        <v>CUMPLE</v>
      </c>
      <c r="P4" t="str">
        <f t="shared" si="0"/>
        <v>CUMPLE</v>
      </c>
      <c r="Q4" s="12">
        <f t="shared" si="1"/>
        <v>36</v>
      </c>
      <c r="R4" s="12">
        <f t="shared" si="1"/>
        <v>240</v>
      </c>
      <c r="S4" s="12">
        <f t="shared" si="1"/>
        <v>29</v>
      </c>
      <c r="T4" s="12">
        <f>SUM(Q4:S4)</f>
        <v>305</v>
      </c>
      <c r="U4" t="s">
        <v>0</v>
      </c>
    </row>
    <row r="5" spans="1:21" x14ac:dyDescent="0.3">
      <c r="A5" t="s">
        <v>20</v>
      </c>
      <c r="B5" s="9" t="s">
        <v>27</v>
      </c>
      <c r="C5" t="s">
        <v>22</v>
      </c>
      <c r="D5">
        <v>3</v>
      </c>
      <c r="E5">
        <v>3</v>
      </c>
      <c r="F5">
        <v>2</v>
      </c>
      <c r="G5" s="12">
        <v>540</v>
      </c>
      <c r="H5" s="12">
        <v>210</v>
      </c>
      <c r="I5" s="12">
        <v>100</v>
      </c>
      <c r="J5" s="12">
        <f>G5+H5+I5</f>
        <v>850</v>
      </c>
      <c r="K5" t="s">
        <v>48</v>
      </c>
      <c r="L5" t="s">
        <v>48</v>
      </c>
      <c r="M5" t="s">
        <v>49</v>
      </c>
      <c r="N5" t="str">
        <f t="shared" si="0"/>
        <v>CUMPLE</v>
      </c>
      <c r="O5" t="str">
        <f t="shared" si="0"/>
        <v>CUMPLE</v>
      </c>
      <c r="P5" t="str">
        <f t="shared" si="0"/>
        <v>CUMPLE</v>
      </c>
      <c r="Q5" s="12">
        <f t="shared" si="1"/>
        <v>540</v>
      </c>
      <c r="R5" s="12">
        <f t="shared" si="1"/>
        <v>210</v>
      </c>
      <c r="S5" s="12">
        <f t="shared" si="1"/>
        <v>100</v>
      </c>
      <c r="T5" s="12">
        <f>SUM(Q5:S5)</f>
        <v>850</v>
      </c>
      <c r="U5" t="s">
        <v>0</v>
      </c>
    </row>
    <row r="6" spans="1:21" x14ac:dyDescent="0.3">
      <c r="B6" s="14" t="s">
        <v>29</v>
      </c>
      <c r="D6" s="14">
        <f t="shared" ref="D6:I6" si="2">SUM(D3:D5)</f>
        <v>8</v>
      </c>
      <c r="E6" s="14">
        <f t="shared" si="2"/>
        <v>9</v>
      </c>
      <c r="F6" s="14">
        <f t="shared" si="2"/>
        <v>8</v>
      </c>
      <c r="G6" s="15">
        <f t="shared" si="2"/>
        <v>741</v>
      </c>
      <c r="H6" s="15">
        <f t="shared" si="2"/>
        <v>558</v>
      </c>
      <c r="I6" s="15">
        <f t="shared" si="2"/>
        <v>201</v>
      </c>
      <c r="J6" s="15">
        <f>G6+H6+I6</f>
        <v>1500</v>
      </c>
      <c r="T6" s="15">
        <f>SUBTOTAL(9,T3:T5)</f>
        <v>1500</v>
      </c>
    </row>
  </sheetData>
  <mergeCells count="4">
    <mergeCell ref="D1:F1"/>
    <mergeCell ref="G1:I1"/>
    <mergeCell ref="K1:M1"/>
    <mergeCell ref="N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4.4" x14ac:dyDescent="0.3"/>
  <cols>
    <col min="1" max="1" width="18" customWidth="1"/>
    <col min="2" max="2" width="44" customWidth="1"/>
    <col min="3" max="5" width="15" customWidth="1"/>
  </cols>
  <sheetData>
    <row r="1" spans="1:5" x14ac:dyDescent="0.3">
      <c r="A1" s="1" t="s">
        <v>2</v>
      </c>
      <c r="B1" s="1" t="s">
        <v>3</v>
      </c>
      <c r="C1" s="1" t="s">
        <v>50</v>
      </c>
      <c r="D1" s="1" t="s">
        <v>51</v>
      </c>
      <c r="E1" s="1" t="s">
        <v>29</v>
      </c>
    </row>
    <row r="2" spans="1:5" x14ac:dyDescent="0.3">
      <c r="A2" t="s">
        <v>20</v>
      </c>
      <c r="B2" t="s">
        <v>21</v>
      </c>
      <c r="C2" s="12">
        <f>SUMIF('CUOTA CLIENTE - CATEGORÍA'!$B$3:$B$14,B2,'CUOTA CLIENTE - CATEGORÍA'!$V$3:$V$14)</f>
        <v>23.595000000000006</v>
      </c>
      <c r="D2" s="12">
        <f>IFERROR(VLOOKUP(B2,'VISIBILIDAD '!$B$3:$T$5,19,FALSE),0)</f>
        <v>345</v>
      </c>
      <c r="E2" s="12">
        <f>C2+D2</f>
        <v>368.59500000000003</v>
      </c>
    </row>
    <row r="3" spans="1:5" x14ac:dyDescent="0.3">
      <c r="A3" t="s">
        <v>20</v>
      </c>
      <c r="B3" t="s">
        <v>25</v>
      </c>
      <c r="C3" s="12">
        <f>SUMIF('CUOTA CLIENTE - CATEGORÍA'!$B$3:$B$14,B3,'CUOTA CLIENTE - CATEGORÍA'!$V$3:$V$14)</f>
        <v>108.9</v>
      </c>
      <c r="D3" s="12">
        <f>IFERROR(VLOOKUP(B3,'VISIBILIDAD '!$B$3:$T$5,19,FALSE),0)</f>
        <v>305</v>
      </c>
      <c r="E3" s="12">
        <f>C3+D3</f>
        <v>413.9</v>
      </c>
    </row>
    <row r="4" spans="1:5" x14ac:dyDescent="0.3">
      <c r="A4" t="s">
        <v>20</v>
      </c>
      <c r="B4" t="s">
        <v>26</v>
      </c>
      <c r="C4" s="12">
        <f>SUMIF('CUOTA CLIENTE - CATEGORÍA'!$B$3:$B$14,B4,'CUOTA CLIENTE - CATEGORÍA'!$V$3:$V$14)</f>
        <v>0</v>
      </c>
      <c r="D4" s="12">
        <f>IFERROR(VLOOKUP(B4,'VISIBILIDAD '!$B$3:$T$5,19,FALSE),0)</f>
        <v>0</v>
      </c>
      <c r="E4" s="12">
        <f>C4+D4</f>
        <v>0</v>
      </c>
    </row>
    <row r="5" spans="1:5" x14ac:dyDescent="0.3">
      <c r="A5" t="s">
        <v>20</v>
      </c>
      <c r="B5" t="s">
        <v>27</v>
      </c>
      <c r="C5" s="12">
        <f>SUMIF('CUOTA CLIENTE - CATEGORÍA'!$B$3:$B$14,B5,'CUOTA CLIENTE - CATEGORÍA'!$V$3:$V$14)</f>
        <v>5.1150000000000002</v>
      </c>
      <c r="D5" s="12">
        <f>IFERROR(VLOOKUP(B5,'VISIBILIDAD '!$B$3:$T$5,19,FALSE),0)</f>
        <v>850</v>
      </c>
      <c r="E5" s="12">
        <f>C5+D5</f>
        <v>855.11500000000001</v>
      </c>
    </row>
    <row r="6" spans="1:5" x14ac:dyDescent="0.3">
      <c r="B6" s="14" t="s">
        <v>29</v>
      </c>
      <c r="C6" s="15">
        <f>SUM(C2:C5)</f>
        <v>137.61000000000001</v>
      </c>
      <c r="D6" s="15">
        <f>SUM(D2:D5)</f>
        <v>1500</v>
      </c>
      <c r="E6" s="15">
        <f>SUM(E2:E5)</f>
        <v>1637.6100000000001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CUOTA CLIENTE - CATEGORÍA</vt:lpstr>
      <vt:lpstr>CUOTA TOTAL</vt:lpstr>
      <vt:lpstr>VISIBILIDAD </vt:lpstr>
      <vt:lpstr>RESUMEN DE 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Antonio Constante Benavides</cp:lastModifiedBy>
  <dcterms:modified xsi:type="dcterms:W3CDTF">2026-08-31T05:31:40Z</dcterms:modified>
</cp:coreProperties>
</file>