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/>
  <mc:AlternateContent xmlns:mc="http://schemas.openxmlformats.org/markup-compatibility/2006">
    <mc:Choice Requires="x15">
      <x15ac:absPath xmlns:x15ac="http://schemas.microsoft.com/office/spreadsheetml/2010/11/ac" url="https://jaboneriaw-my.sharepoint.com/personal/mguaman_jaboneriawilson_com/Documents/Documentos/ACUERDOS COMERCIALES/DIRECTA/2026/Q2/"/>
    </mc:Choice>
  </mc:AlternateContent>
  <xr:revisionPtr revIDLastSave="0" documentId="8_{AA339F20-40CF-4A02-8C4B-D05EF442EE54}" xr6:coauthVersionLast="47" xr6:coauthVersionMax="47" xr10:uidLastSave="{00000000-0000-0000-0000-000000000000}"/>
  <bookViews>
    <workbookView xWindow="-110" yWindow="-110" windowWidth="19420" windowHeight="11500" firstSheet="2" activeTab="2" xr2:uid="{608D0329-74FE-4DCF-AABB-8211C9E0221A}"/>
  </bookViews>
  <sheets>
    <sheet name="Hoja1" sheetId="8" state="hidden" r:id="rId1"/>
    <sheet name="Hoja2" sheetId="14" state="hidden" r:id="rId2"/>
    <sheet name="PRESUPUESTO VISIBILIDAD UTILIZA" sheetId="12" r:id="rId3"/>
    <sheet name="RESUMEN DE PAGOS" sheetId="17" r:id="rId4"/>
    <sheet name="VISIBILIDAD " sheetId="15" r:id="rId5"/>
    <sheet name="CUOTA TOTAL" sheetId="16" r:id="rId6"/>
    <sheet name="CUOTA CLIENTE - CATEGORÍA" sheetId="2" r:id="rId7"/>
  </sheets>
  <definedNames>
    <definedName name="_xlnm._FilterDatabase" localSheetId="6" hidden="1">'CUOTA CLIENTE - CATEGORÍA'!$A$2:$Z$312</definedName>
    <definedName name="_xlnm._FilterDatabase" localSheetId="0" hidden="1">Hoja1!$A$1:$E$64</definedName>
    <definedName name="_xlnm._FilterDatabase" localSheetId="3" hidden="1">'RESUMEN DE PAGOS'!$A$3:$D$71</definedName>
    <definedName name="_xlnm._FilterDatabase" localSheetId="4" hidden="1">'VISIBILIDAD '!$B$2:$N$47</definedName>
    <definedName name="_xlnm.Print_Area" localSheetId="6">'CUOTA CLIENTE - CATEGORÍA'!$B$1:$X$198</definedName>
    <definedName name="_xlnm.Print_Area" localSheetId="4">'VISIBILIDAD '!$C$1:$D$26</definedName>
  </definedNames>
  <calcPr calcId="191028"/>
  <pivotCaches>
    <pivotCache cacheId="131" r:id="rId8"/>
    <pivotCache cacheId="132" r:id="rId9"/>
    <pivotCache cacheId="133" r:id="rId10"/>
    <pivotCache cacheId="13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2" l="1"/>
  <c r="H45" i="12"/>
  <c r="H43" i="12"/>
  <c r="H44" i="12"/>
  <c r="H42" i="12"/>
  <c r="C46" i="12"/>
  <c r="B46" i="12"/>
  <c r="C71" i="17"/>
  <c r="E7" i="17"/>
  <c r="E12" i="17"/>
  <c r="E13" i="17"/>
  <c r="E14" i="17"/>
  <c r="E17" i="17"/>
  <c r="E18" i="17"/>
  <c r="E20" i="17"/>
  <c r="E24" i="17"/>
  <c r="E27" i="17"/>
  <c r="E28" i="17"/>
  <c r="E29" i="17"/>
  <c r="E30" i="17"/>
  <c r="E33" i="17"/>
  <c r="E35" i="17"/>
  <c r="E40" i="17"/>
  <c r="E46" i="17"/>
  <c r="E48" i="17"/>
  <c r="E51" i="17"/>
  <c r="E52" i="17"/>
  <c r="E54" i="17"/>
  <c r="E55" i="17"/>
  <c r="E58" i="17"/>
  <c r="E59" i="17"/>
  <c r="E61" i="17"/>
  <c r="E63" i="17"/>
  <c r="E66" i="17"/>
  <c r="E67" i="17"/>
  <c r="E68" i="17"/>
  <c r="E69" i="17"/>
  <c r="E4" i="17"/>
  <c r="G134" i="2"/>
  <c r="H134" i="2"/>
  <c r="F134" i="2"/>
  <c r="T42" i="15"/>
  <c r="T30" i="15"/>
  <c r="T31" i="15"/>
  <c r="T32" i="15"/>
  <c r="T33" i="15"/>
  <c r="T34" i="15"/>
  <c r="T35" i="15"/>
  <c r="T36" i="15"/>
  <c r="T37" i="15"/>
  <c r="T38" i="15"/>
  <c r="T40" i="15"/>
  <c r="T41" i="15"/>
  <c r="T43" i="15"/>
  <c r="T44" i="15"/>
  <c r="T45" i="15"/>
  <c r="S30" i="15"/>
  <c r="S31" i="15"/>
  <c r="S32" i="15"/>
  <c r="S33" i="15"/>
  <c r="S37" i="15"/>
  <c r="S38" i="15"/>
  <c r="S39" i="15"/>
  <c r="S40" i="15"/>
  <c r="S41" i="15"/>
  <c r="S42" i="15"/>
  <c r="S44" i="15"/>
  <c r="S45" i="15"/>
  <c r="R30" i="15"/>
  <c r="R31" i="15"/>
  <c r="R32" i="15"/>
  <c r="R33" i="15"/>
  <c r="R34" i="15"/>
  <c r="R35" i="15"/>
  <c r="R36" i="15"/>
  <c r="R37" i="15"/>
  <c r="R38" i="15"/>
  <c r="R40" i="15"/>
  <c r="R41" i="15"/>
  <c r="R42" i="15"/>
  <c r="R43" i="15"/>
  <c r="R44" i="15"/>
  <c r="R45" i="15"/>
  <c r="T24" i="15"/>
  <c r="S24" i="15"/>
  <c r="R24" i="15"/>
  <c r="T20" i="15"/>
  <c r="S20" i="15"/>
  <c r="S21" i="15"/>
  <c r="R20" i="15"/>
  <c r="U20" i="15" l="1"/>
  <c r="U24" i="15"/>
  <c r="D38" i="17" s="1"/>
  <c r="E38" i="17" s="1"/>
  <c r="U33" i="15"/>
  <c r="D41" i="17" s="1"/>
  <c r="E41" i="17" s="1"/>
  <c r="U30" i="15"/>
  <c r="U40" i="15"/>
  <c r="D60" i="17" s="1"/>
  <c r="E60" i="17" s="1"/>
  <c r="U38" i="15"/>
  <c r="U31" i="15"/>
  <c r="D45" i="17" s="1"/>
  <c r="E45" i="17" s="1"/>
  <c r="U32" i="15"/>
  <c r="U45" i="15"/>
  <c r="D26" i="17" s="1"/>
  <c r="U44" i="15"/>
  <c r="U43" i="15"/>
  <c r="U42" i="15"/>
  <c r="D31" i="17" s="1"/>
  <c r="E31" i="17" s="1"/>
  <c r="U41" i="15"/>
  <c r="D64" i="17" s="1"/>
  <c r="E64" i="17" s="1"/>
  <c r="U37" i="15"/>
  <c r="D39" i="17" s="1"/>
  <c r="E39" i="17" s="1"/>
  <c r="D32" i="17" l="1"/>
  <c r="E32" i="17" s="1"/>
  <c r="E26" i="17"/>
  <c r="E5" i="16"/>
  <c r="F5" i="16" s="1"/>
  <c r="T285" i="2" s="1"/>
  <c r="E6" i="16"/>
  <c r="F6" i="16" s="1"/>
  <c r="E7" i="16"/>
  <c r="F7" i="16" s="1"/>
  <c r="T276" i="2" s="1"/>
  <c r="E8" i="16"/>
  <c r="F8" i="16" s="1"/>
  <c r="E9" i="16"/>
  <c r="F9" i="16" s="1"/>
  <c r="T213" i="2" s="1"/>
  <c r="E10" i="16"/>
  <c r="F10" i="16" s="1"/>
  <c r="T207" i="2" s="1"/>
  <c r="E11" i="16"/>
  <c r="F11" i="16" s="1"/>
  <c r="T199" i="2" s="1"/>
  <c r="E12" i="16"/>
  <c r="F12" i="16" s="1"/>
  <c r="T311" i="2" s="1"/>
  <c r="E13" i="16"/>
  <c r="F13" i="16" s="1"/>
  <c r="E14" i="16"/>
  <c r="F14" i="16" s="1"/>
  <c r="T288" i="2" s="1"/>
  <c r="E15" i="16"/>
  <c r="F15" i="16" s="1"/>
  <c r="T115" i="2" s="1"/>
  <c r="E16" i="16"/>
  <c r="F16" i="16" s="1"/>
  <c r="T112" i="2" s="1"/>
  <c r="E17" i="16"/>
  <c r="F17" i="16" s="1"/>
  <c r="T51" i="2" s="1"/>
  <c r="E18" i="16"/>
  <c r="F18" i="16" s="1"/>
  <c r="T55" i="2" s="1"/>
  <c r="E19" i="16"/>
  <c r="F19" i="16" s="1"/>
  <c r="T43" i="2" s="1"/>
  <c r="E20" i="16"/>
  <c r="F20" i="16" s="1"/>
  <c r="T41" i="2" s="1"/>
  <c r="E21" i="16"/>
  <c r="F21" i="16" s="1"/>
  <c r="T20" i="2" s="1"/>
  <c r="E22" i="16"/>
  <c r="F22" i="16" s="1"/>
  <c r="T14" i="2" s="1"/>
  <c r="E23" i="16"/>
  <c r="F23" i="16" s="1"/>
  <c r="E24" i="16"/>
  <c r="F24" i="16" s="1"/>
  <c r="E25" i="16"/>
  <c r="F25" i="16" s="1"/>
  <c r="E26" i="16"/>
  <c r="F26" i="16" s="1"/>
  <c r="T259" i="2" s="1"/>
  <c r="E27" i="16"/>
  <c r="F27" i="16" s="1"/>
  <c r="E28" i="16"/>
  <c r="F28" i="16" s="1"/>
  <c r="E29" i="16"/>
  <c r="F29" i="16" s="1"/>
  <c r="E30" i="16"/>
  <c r="F30" i="16" s="1"/>
  <c r="E31" i="16"/>
  <c r="F31" i="16" s="1"/>
  <c r="E32" i="16"/>
  <c r="F32" i="16" s="1"/>
  <c r="E33" i="16"/>
  <c r="F33" i="16" s="1"/>
  <c r="E34" i="16"/>
  <c r="F34" i="16" s="1"/>
  <c r="E35" i="16"/>
  <c r="F35" i="16" s="1"/>
  <c r="E36" i="16"/>
  <c r="F36" i="16" s="1"/>
  <c r="E37" i="16"/>
  <c r="F37" i="16" s="1"/>
  <c r="E38" i="16"/>
  <c r="F38" i="16" s="1"/>
  <c r="E39" i="16"/>
  <c r="F39" i="16" s="1"/>
  <c r="E40" i="16"/>
  <c r="F40" i="16" s="1"/>
  <c r="E41" i="16"/>
  <c r="F41" i="16" s="1"/>
  <c r="E42" i="16"/>
  <c r="F42" i="16" s="1"/>
  <c r="E43" i="16"/>
  <c r="F43" i="16" s="1"/>
  <c r="E44" i="16"/>
  <c r="F44" i="16" s="1"/>
  <c r="E45" i="16"/>
  <c r="F45" i="16" s="1"/>
  <c r="T139" i="2" s="1"/>
  <c r="E46" i="16"/>
  <c r="F46" i="16" s="1"/>
  <c r="E47" i="16"/>
  <c r="F47" i="16" s="1"/>
  <c r="E48" i="16"/>
  <c r="F48" i="16" s="1"/>
  <c r="T79" i="2" s="1"/>
  <c r="E49" i="16"/>
  <c r="F49" i="16" s="1"/>
  <c r="E50" i="16"/>
  <c r="F50" i="16" s="1"/>
  <c r="T183" i="2" s="1"/>
  <c r="E51" i="16"/>
  <c r="F51" i="16" s="1"/>
  <c r="E52" i="16"/>
  <c r="F52" i="16" s="1"/>
  <c r="E53" i="16"/>
  <c r="F53" i="16" s="1"/>
  <c r="E54" i="16"/>
  <c r="F54" i="16" s="1"/>
  <c r="E55" i="16"/>
  <c r="F55" i="16" s="1"/>
  <c r="E56" i="16"/>
  <c r="F56" i="16" s="1"/>
  <c r="E57" i="16"/>
  <c r="F57" i="16" s="1"/>
  <c r="E58" i="16"/>
  <c r="F58" i="16" s="1"/>
  <c r="E59" i="16"/>
  <c r="F59" i="16" s="1"/>
  <c r="E60" i="16"/>
  <c r="F60" i="16" s="1"/>
  <c r="E61" i="16"/>
  <c r="F61" i="16" s="1"/>
  <c r="E62" i="16"/>
  <c r="F62" i="16" s="1"/>
  <c r="E63" i="16"/>
  <c r="F63" i="16" s="1"/>
  <c r="E64" i="16"/>
  <c r="F64" i="16" s="1"/>
  <c r="E65" i="16"/>
  <c r="F65" i="16" s="1"/>
  <c r="E66" i="16"/>
  <c r="F66" i="16" s="1"/>
  <c r="E67" i="16"/>
  <c r="F67" i="16" s="1"/>
  <c r="E68" i="16"/>
  <c r="F68" i="16" s="1"/>
  <c r="E69" i="16"/>
  <c r="F69" i="16" s="1"/>
  <c r="E70" i="16"/>
  <c r="F70" i="16" s="1"/>
  <c r="E71" i="16"/>
  <c r="F71" i="16" s="1"/>
  <c r="E72" i="16"/>
  <c r="F72" i="16" s="1"/>
  <c r="E4" i="16"/>
  <c r="F4" i="16" s="1"/>
  <c r="T296" i="2" s="1"/>
  <c r="Q300" i="2"/>
  <c r="Q271" i="2"/>
  <c r="Q255" i="2"/>
  <c r="Q253" i="2"/>
  <c r="Q246" i="2"/>
  <c r="Q245" i="2"/>
  <c r="Q244" i="2"/>
  <c r="Q243" i="2"/>
  <c r="Q224" i="2"/>
  <c r="Q195" i="2"/>
  <c r="Q170" i="2"/>
  <c r="Q136" i="2"/>
  <c r="Q105" i="2"/>
  <c r="Q70" i="2"/>
  <c r="Q60" i="2"/>
  <c r="Q38" i="2"/>
  <c r="Q35" i="2"/>
  <c r="Q30" i="2"/>
  <c r="Q29" i="2"/>
  <c r="Q23" i="2"/>
  <c r="G3" i="12"/>
  <c r="I77" i="2"/>
  <c r="K77" i="2" s="1"/>
  <c r="I76" i="2"/>
  <c r="K76" i="2" s="1"/>
  <c r="I75" i="2"/>
  <c r="L75" i="2" s="1"/>
  <c r="I74" i="2"/>
  <c r="K74" i="2" s="1"/>
  <c r="I73" i="2"/>
  <c r="E77" i="2"/>
  <c r="E76" i="2"/>
  <c r="E75" i="2"/>
  <c r="E74" i="2"/>
  <c r="E73" i="2"/>
  <c r="H313" i="2"/>
  <c r="G313" i="2"/>
  <c r="F313" i="2"/>
  <c r="J313" i="2"/>
  <c r="T150" i="2" l="1"/>
  <c r="T67" i="2"/>
  <c r="T31" i="2"/>
  <c r="T128" i="2"/>
  <c r="T122" i="2"/>
  <c r="T146" i="2"/>
  <c r="T134" i="2"/>
  <c r="T208" i="2"/>
  <c r="T182" i="2"/>
  <c r="T97" i="2"/>
  <c r="R77" i="2"/>
  <c r="S77" i="2" s="1"/>
  <c r="T185" i="2"/>
  <c r="T163" i="2"/>
  <c r="T172" i="2"/>
  <c r="T245" i="2"/>
  <c r="T42" i="2"/>
  <c r="T40" i="2"/>
  <c r="T233" i="2"/>
  <c r="T3" i="2"/>
  <c r="T7" i="2"/>
  <c r="T4" i="2"/>
  <c r="T248" i="2"/>
  <c r="T221" i="2"/>
  <c r="T268" i="2"/>
  <c r="T228" i="2"/>
  <c r="T229" i="2"/>
  <c r="T230" i="2"/>
  <c r="T231" i="2"/>
  <c r="T232" i="2"/>
  <c r="T127" i="2"/>
  <c r="T220" i="2"/>
  <c r="T222" i="2"/>
  <c r="T218" i="2"/>
  <c r="T219" i="2"/>
  <c r="T258" i="2"/>
  <c r="T148" i="2"/>
  <c r="T30" i="2"/>
  <c r="T28" i="2"/>
  <c r="T151" i="2"/>
  <c r="T38" i="2"/>
  <c r="T210" i="2"/>
  <c r="T19" i="2"/>
  <c r="T85" i="2"/>
  <c r="T93" i="2"/>
  <c r="T32" i="2"/>
  <c r="T87" i="2"/>
  <c r="T16" i="2"/>
  <c r="T86" i="2"/>
  <c r="T15" i="2"/>
  <c r="T174" i="2"/>
  <c r="T39" i="2"/>
  <c r="T235" i="2"/>
  <c r="T73" i="2"/>
  <c r="T77" i="2"/>
  <c r="T74" i="2"/>
  <c r="T75" i="2"/>
  <c r="T76" i="2"/>
  <c r="T253" i="2"/>
  <c r="T257" i="2"/>
  <c r="T256" i="2"/>
  <c r="T254" i="2"/>
  <c r="T255" i="2"/>
  <c r="T101" i="2"/>
  <c r="T102" i="2"/>
  <c r="T100" i="2"/>
  <c r="T98" i="2"/>
  <c r="T99" i="2"/>
  <c r="T302" i="2"/>
  <c r="T299" i="2"/>
  <c r="T301" i="2"/>
  <c r="T300" i="2"/>
  <c r="T298" i="2"/>
  <c r="T161" i="2"/>
  <c r="T158" i="2"/>
  <c r="T159" i="2"/>
  <c r="T160" i="2"/>
  <c r="T162" i="2"/>
  <c r="T104" i="2"/>
  <c r="T105" i="2"/>
  <c r="T106" i="2"/>
  <c r="T107" i="2"/>
  <c r="T103" i="2"/>
  <c r="T175" i="2"/>
  <c r="T224" i="2"/>
  <c r="T225" i="2"/>
  <c r="T226" i="2"/>
  <c r="T227" i="2"/>
  <c r="T92" i="2"/>
  <c r="T89" i="2"/>
  <c r="T90" i="2"/>
  <c r="T109" i="2"/>
  <c r="T108" i="2"/>
  <c r="T200" i="2"/>
  <c r="T201" i="2"/>
  <c r="T202" i="2"/>
  <c r="T297" i="2"/>
  <c r="T205" i="2"/>
  <c r="T203" i="2"/>
  <c r="T204" i="2"/>
  <c r="T206" i="2"/>
  <c r="T147" i="2"/>
  <c r="T111" i="2"/>
  <c r="T193" i="2"/>
  <c r="T197" i="2"/>
  <c r="T265" i="2"/>
  <c r="T263" i="2"/>
  <c r="T264" i="2"/>
  <c r="T25" i="2"/>
  <c r="T23" i="2"/>
  <c r="T24" i="2"/>
  <c r="T278" i="2"/>
  <c r="T279" i="2"/>
  <c r="T280" i="2"/>
  <c r="T281" i="2"/>
  <c r="T282" i="2"/>
  <c r="T267" i="2"/>
  <c r="T68" i="2"/>
  <c r="T69" i="2"/>
  <c r="T70" i="2"/>
  <c r="T71" i="2"/>
  <c r="T72" i="2"/>
  <c r="T49" i="2"/>
  <c r="T48" i="2"/>
  <c r="T234" i="2"/>
  <c r="T153" i="2"/>
  <c r="T154" i="2"/>
  <c r="T155" i="2"/>
  <c r="T156" i="2"/>
  <c r="T157" i="2"/>
  <c r="T198" i="2"/>
  <c r="T80" i="2"/>
  <c r="T81" i="2"/>
  <c r="T82" i="2"/>
  <c r="T78" i="2"/>
  <c r="T170" i="2"/>
  <c r="T8" i="2"/>
  <c r="T9" i="2"/>
  <c r="T10" i="2"/>
  <c r="T11" i="2"/>
  <c r="T12" i="2"/>
  <c r="T312" i="2"/>
  <c r="T247" i="2"/>
  <c r="T195" i="2"/>
  <c r="T135" i="2"/>
  <c r="T64" i="2"/>
  <c r="T50" i="2"/>
  <c r="T303" i="2"/>
  <c r="T304" i="2"/>
  <c r="T305" i="2"/>
  <c r="T307" i="2"/>
  <c r="T306" i="2"/>
  <c r="T171" i="2"/>
  <c r="T223" i="2"/>
  <c r="T136" i="2"/>
  <c r="T310" i="2"/>
  <c r="T246" i="2"/>
  <c r="T194" i="2"/>
  <c r="T63" i="2"/>
  <c r="T58" i="2"/>
  <c r="T59" i="2"/>
  <c r="T61" i="2"/>
  <c r="T60" i="2"/>
  <c r="T145" i="2"/>
  <c r="T143" i="2"/>
  <c r="T144" i="2"/>
  <c r="T133" i="2"/>
  <c r="T137" i="2"/>
  <c r="T283" i="2"/>
  <c r="T287" i="2"/>
  <c r="T236" i="2"/>
  <c r="T237" i="2"/>
  <c r="T164" i="2"/>
  <c r="T165" i="2"/>
  <c r="T166" i="2"/>
  <c r="T167" i="2"/>
  <c r="T289" i="2"/>
  <c r="T110" i="2"/>
  <c r="T260" i="2"/>
  <c r="T261" i="2"/>
  <c r="T262" i="2"/>
  <c r="T5" i="2"/>
  <c r="T6" i="2"/>
  <c r="T286" i="2"/>
  <c r="T244" i="2"/>
  <c r="T187" i="2"/>
  <c r="T62" i="2"/>
  <c r="T290" i="2"/>
  <c r="T291" i="2"/>
  <c r="T292" i="2"/>
  <c r="T266" i="2"/>
  <c r="T241" i="2"/>
  <c r="T238" i="2"/>
  <c r="T239" i="2"/>
  <c r="T240" i="2"/>
  <c r="T176" i="2"/>
  <c r="T177" i="2"/>
  <c r="T173" i="2"/>
  <c r="T196" i="2"/>
  <c r="T13" i="2"/>
  <c r="T17" i="2"/>
  <c r="T284" i="2"/>
  <c r="T125" i="2"/>
  <c r="T126" i="2"/>
  <c r="T309" i="2"/>
  <c r="T277" i="2"/>
  <c r="T188" i="2"/>
  <c r="T189" i="2"/>
  <c r="T190" i="2"/>
  <c r="T191" i="2"/>
  <c r="T192" i="2"/>
  <c r="T308" i="2"/>
  <c r="T243" i="2"/>
  <c r="T186" i="2"/>
  <c r="T124" i="2"/>
  <c r="T91" i="2"/>
  <c r="T27" i="2"/>
  <c r="T56" i="2"/>
  <c r="T57" i="2"/>
  <c r="T53" i="2"/>
  <c r="T54" i="2"/>
  <c r="T293" i="2"/>
  <c r="T294" i="2"/>
  <c r="T295" i="2"/>
  <c r="T169" i="2"/>
  <c r="T168" i="2"/>
  <c r="T118" i="2"/>
  <c r="T121" i="2"/>
  <c r="T119" i="2"/>
  <c r="T120" i="2"/>
  <c r="T65" i="2"/>
  <c r="T66" i="2"/>
  <c r="T33" i="2"/>
  <c r="T34" i="2"/>
  <c r="T37" i="2"/>
  <c r="T35" i="2"/>
  <c r="T36" i="2"/>
  <c r="T178" i="2"/>
  <c r="T181" i="2"/>
  <c r="T179" i="2"/>
  <c r="T180" i="2"/>
  <c r="T140" i="2"/>
  <c r="T141" i="2"/>
  <c r="T142" i="2"/>
  <c r="T138" i="2"/>
  <c r="T44" i="2"/>
  <c r="T45" i="2"/>
  <c r="T46" i="2"/>
  <c r="T47" i="2"/>
  <c r="T273" i="2"/>
  <c r="T275" i="2"/>
  <c r="T152" i="2"/>
  <c r="T149" i="2"/>
  <c r="T212" i="2"/>
  <c r="T209" i="2"/>
  <c r="T116" i="2"/>
  <c r="T117" i="2"/>
  <c r="T113" i="2"/>
  <c r="T114" i="2"/>
  <c r="T274" i="2"/>
  <c r="T242" i="2"/>
  <c r="T211" i="2"/>
  <c r="T184" i="2"/>
  <c r="T123" i="2"/>
  <c r="T88" i="2"/>
  <c r="T52" i="2"/>
  <c r="T26" i="2"/>
  <c r="T18" i="2"/>
  <c r="T29" i="2"/>
  <c r="T217" i="2"/>
  <c r="T252" i="2"/>
  <c r="T216" i="2"/>
  <c r="T132" i="2"/>
  <c r="T96" i="2"/>
  <c r="T84" i="2"/>
  <c r="T251" i="2"/>
  <c r="T215" i="2"/>
  <c r="T131" i="2"/>
  <c r="T95" i="2"/>
  <c r="T83" i="2"/>
  <c r="T271" i="2"/>
  <c r="T250" i="2"/>
  <c r="T214" i="2"/>
  <c r="T130" i="2"/>
  <c r="T94" i="2"/>
  <c r="T22" i="2"/>
  <c r="T270" i="2"/>
  <c r="T249" i="2"/>
  <c r="T129" i="2"/>
  <c r="T21" i="2"/>
  <c r="T269" i="2"/>
  <c r="L73" i="2"/>
  <c r="K73" i="2"/>
  <c r="L74" i="2"/>
  <c r="K75" i="2"/>
  <c r="L76" i="2"/>
  <c r="L77" i="2"/>
  <c r="Q5" i="2" l="1"/>
  <c r="Q74" i="2"/>
  <c r="R74" i="2" s="1"/>
  <c r="S74" i="2" s="1"/>
  <c r="U74" i="2" s="1"/>
  <c r="V74" i="2" s="1"/>
  <c r="Q76" i="2"/>
  <c r="U77" i="2"/>
  <c r="V77" i="2" s="1"/>
  <c r="Q73" i="2"/>
  <c r="Q75" i="2"/>
  <c r="R73" i="2" l="1"/>
  <c r="S73" i="2" s="1"/>
  <c r="R76" i="2"/>
  <c r="S76" i="2" s="1"/>
  <c r="U76" i="2" s="1"/>
  <c r="V76" i="2" s="1"/>
  <c r="R75" i="2"/>
  <c r="S75" i="2" s="1"/>
  <c r="G46" i="15"/>
  <c r="F46" i="15"/>
  <c r="E46" i="15"/>
  <c r="K45" i="15"/>
  <c r="K44" i="15"/>
  <c r="K43" i="15"/>
  <c r="K42" i="15"/>
  <c r="I41" i="15"/>
  <c r="H41" i="15"/>
  <c r="K40" i="15"/>
  <c r="J39" i="15"/>
  <c r="T39" i="15" s="1"/>
  <c r="H39" i="15"/>
  <c r="R39" i="15" s="1"/>
  <c r="K38" i="15"/>
  <c r="J37" i="15"/>
  <c r="K37" i="15" s="1"/>
  <c r="I36" i="15"/>
  <c r="S36" i="15" s="1"/>
  <c r="U36" i="15" s="1"/>
  <c r="D42" i="17" s="1"/>
  <c r="E42" i="17" s="1"/>
  <c r="H36" i="15"/>
  <c r="I35" i="15"/>
  <c r="S35" i="15" s="1"/>
  <c r="U35" i="15" s="1"/>
  <c r="D43" i="17" s="1"/>
  <c r="E43" i="17" s="1"/>
  <c r="H35" i="15"/>
  <c r="I34" i="15"/>
  <c r="S34" i="15" s="1"/>
  <c r="U34" i="15" s="1"/>
  <c r="D37" i="17" s="1"/>
  <c r="E37" i="17" s="1"/>
  <c r="H34" i="15"/>
  <c r="I33" i="15"/>
  <c r="H33" i="15"/>
  <c r="H32" i="15"/>
  <c r="K32" i="15" s="1"/>
  <c r="J31" i="15"/>
  <c r="H31" i="15"/>
  <c r="K30" i="15"/>
  <c r="T29" i="15"/>
  <c r="R29" i="15"/>
  <c r="I29" i="15"/>
  <c r="S29" i="15" s="1"/>
  <c r="H29" i="15"/>
  <c r="T28" i="15"/>
  <c r="S28" i="15"/>
  <c r="R28" i="15"/>
  <c r="H28" i="15"/>
  <c r="K28" i="15" s="1"/>
  <c r="T27" i="15"/>
  <c r="R27" i="15"/>
  <c r="I27" i="15"/>
  <c r="K27" i="15" s="1"/>
  <c r="T26" i="15"/>
  <c r="R26" i="15"/>
  <c r="I26" i="15"/>
  <c r="S26" i="15" s="1"/>
  <c r="H26" i="15"/>
  <c r="A26" i="15"/>
  <c r="T25" i="15"/>
  <c r="R25" i="15"/>
  <c r="I25" i="15"/>
  <c r="S25" i="15" s="1"/>
  <c r="H25" i="15"/>
  <c r="A25" i="15"/>
  <c r="K24" i="15"/>
  <c r="T23" i="15"/>
  <c r="R23" i="15"/>
  <c r="I23" i="15"/>
  <c r="S23" i="15" s="1"/>
  <c r="H23" i="15"/>
  <c r="A23" i="15"/>
  <c r="T22" i="15"/>
  <c r="S22" i="15"/>
  <c r="R22" i="15"/>
  <c r="J22" i="15"/>
  <c r="I22" i="15"/>
  <c r="A22" i="15"/>
  <c r="R21" i="15"/>
  <c r="J21" i="15"/>
  <c r="T21" i="15" s="1"/>
  <c r="I21" i="15"/>
  <c r="H21" i="15"/>
  <c r="A21" i="15"/>
  <c r="K20" i="15"/>
  <c r="T19" i="15"/>
  <c r="S19" i="15"/>
  <c r="R19" i="15"/>
  <c r="K19" i="15"/>
  <c r="A19" i="15"/>
  <c r="T18" i="15"/>
  <c r="S18" i="15"/>
  <c r="R18" i="15"/>
  <c r="H18" i="15"/>
  <c r="K18" i="15" s="1"/>
  <c r="A18" i="15"/>
  <c r="T17" i="15"/>
  <c r="S17" i="15"/>
  <c r="R17" i="15"/>
  <c r="I17" i="15"/>
  <c r="K17" i="15" s="1"/>
  <c r="T16" i="15"/>
  <c r="S16" i="15"/>
  <c r="R16" i="15"/>
  <c r="I16" i="15"/>
  <c r="H16" i="15"/>
  <c r="A16" i="15"/>
  <c r="T15" i="15"/>
  <c r="S15" i="15"/>
  <c r="R15" i="15"/>
  <c r="H15" i="15"/>
  <c r="K15" i="15" s="1"/>
  <c r="A15" i="15"/>
  <c r="T14" i="15"/>
  <c r="S14" i="15"/>
  <c r="R14" i="15"/>
  <c r="H14" i="15"/>
  <c r="K14" i="15" s="1"/>
  <c r="A14" i="15"/>
  <c r="T13" i="15"/>
  <c r="S13" i="15"/>
  <c r="R13" i="15"/>
  <c r="I13" i="15"/>
  <c r="H13" i="15"/>
  <c r="A13" i="15"/>
  <c r="T12" i="15"/>
  <c r="S12" i="15"/>
  <c r="I12" i="15"/>
  <c r="H12" i="15"/>
  <c r="R12" i="15" s="1"/>
  <c r="A12" i="15"/>
  <c r="T11" i="15"/>
  <c r="S11" i="15"/>
  <c r="I11" i="15"/>
  <c r="H11" i="15"/>
  <c r="R11" i="15" s="1"/>
  <c r="A11" i="15"/>
  <c r="T10" i="15"/>
  <c r="S10" i="15"/>
  <c r="R10" i="15"/>
  <c r="H10" i="15"/>
  <c r="K10" i="15" s="1"/>
  <c r="A10" i="15"/>
  <c r="S9" i="15"/>
  <c r="R9" i="15"/>
  <c r="J9" i="15"/>
  <c r="T9" i="15" s="1"/>
  <c r="I9" i="15"/>
  <c r="H9" i="15"/>
  <c r="A9" i="15"/>
  <c r="S8" i="15"/>
  <c r="J8" i="15"/>
  <c r="T8" i="15" s="1"/>
  <c r="I8" i="15"/>
  <c r="H8" i="15"/>
  <c r="R8" i="15" s="1"/>
  <c r="A8" i="15"/>
  <c r="T7" i="15"/>
  <c r="R7" i="15"/>
  <c r="I7" i="15"/>
  <c r="H7" i="15"/>
  <c r="T6" i="15"/>
  <c r="S6" i="15"/>
  <c r="H6" i="15"/>
  <c r="R6" i="15" s="1"/>
  <c r="A6" i="15"/>
  <c r="R5" i="15"/>
  <c r="J5" i="15"/>
  <c r="I5" i="15"/>
  <c r="S5" i="15" s="1"/>
  <c r="A5" i="15"/>
  <c r="T4" i="15"/>
  <c r="R4" i="15"/>
  <c r="J4" i="15"/>
  <c r="I4" i="15"/>
  <c r="H4" i="15"/>
  <c r="T3" i="15"/>
  <c r="S3" i="15"/>
  <c r="R3" i="15"/>
  <c r="J3" i="15"/>
  <c r="A3" i="15"/>
  <c r="K29" i="15" l="1"/>
  <c r="K23" i="15"/>
  <c r="U39" i="15"/>
  <c r="D50" i="17" s="1"/>
  <c r="K31" i="15"/>
  <c r="U29" i="15"/>
  <c r="D34" i="17" s="1"/>
  <c r="K41" i="15"/>
  <c r="K16" i="15"/>
  <c r="U6" i="15"/>
  <c r="D65" i="17" s="1"/>
  <c r="E65" i="17" s="1"/>
  <c r="U13" i="15"/>
  <c r="D11" i="17" s="1"/>
  <c r="E11" i="17" s="1"/>
  <c r="K9" i="15"/>
  <c r="K34" i="15"/>
  <c r="U18" i="15"/>
  <c r="D23" i="17" s="1"/>
  <c r="E23" i="17" s="1"/>
  <c r="U23" i="15"/>
  <c r="U75" i="2"/>
  <c r="V75" i="2" s="1"/>
  <c r="U73" i="2"/>
  <c r="V73" i="2" s="1"/>
  <c r="U22" i="15"/>
  <c r="D8" i="17" s="1"/>
  <c r="E8" i="17" s="1"/>
  <c r="U25" i="15"/>
  <c r="U17" i="15"/>
  <c r="K39" i="15"/>
  <c r="U9" i="15"/>
  <c r="D16" i="17" s="1"/>
  <c r="E16" i="17" s="1"/>
  <c r="K22" i="15"/>
  <c r="U14" i="15"/>
  <c r="D19" i="17" s="1"/>
  <c r="E19" i="17" s="1"/>
  <c r="K25" i="15"/>
  <c r="U15" i="15"/>
  <c r="D15" i="17" s="1"/>
  <c r="E15" i="17" s="1"/>
  <c r="K8" i="15"/>
  <c r="U8" i="15"/>
  <c r="D53" i="17" s="1"/>
  <c r="E53" i="17" s="1"/>
  <c r="U3" i="15"/>
  <c r="K7" i="15"/>
  <c r="U16" i="15"/>
  <c r="D21" i="17" s="1"/>
  <c r="E21" i="17" s="1"/>
  <c r="H46" i="15"/>
  <c r="I46" i="15"/>
  <c r="U12" i="15"/>
  <c r="D9" i="17" s="1"/>
  <c r="E9" i="17" s="1"/>
  <c r="K26" i="15"/>
  <c r="K33" i="15"/>
  <c r="U10" i="15"/>
  <c r="D22" i="17" s="1"/>
  <c r="E22" i="17" s="1"/>
  <c r="K36" i="15"/>
  <c r="U11" i="15"/>
  <c r="D5" i="17" s="1"/>
  <c r="S27" i="15"/>
  <c r="U27" i="15" s="1"/>
  <c r="D44" i="17" s="1"/>
  <c r="E44" i="17" s="1"/>
  <c r="S7" i="15"/>
  <c r="U7" i="15" s="1"/>
  <c r="D62" i="17" s="1"/>
  <c r="E62" i="17" s="1"/>
  <c r="K11" i="15"/>
  <c r="J46" i="15"/>
  <c r="K5" i="15"/>
  <c r="K13" i="15"/>
  <c r="U19" i="15"/>
  <c r="D6" i="17" s="1"/>
  <c r="E6" i="17" s="1"/>
  <c r="U28" i="15"/>
  <c r="D47" i="17" s="1"/>
  <c r="E47" i="17" s="1"/>
  <c r="T5" i="15"/>
  <c r="U5" i="15" s="1"/>
  <c r="D56" i="17" s="1"/>
  <c r="E56" i="17" s="1"/>
  <c r="K21" i="15"/>
  <c r="K35" i="15"/>
  <c r="U21" i="15"/>
  <c r="D10" i="17" s="1"/>
  <c r="E10" i="17" s="1"/>
  <c r="S4" i="15"/>
  <c r="U4" i="15" s="1"/>
  <c r="D57" i="17" s="1"/>
  <c r="E57" i="17" s="1"/>
  <c r="K6" i="15"/>
  <c r="U26" i="15"/>
  <c r="D36" i="17" s="1"/>
  <c r="E36" i="17" s="1"/>
  <c r="K12" i="15"/>
  <c r="K3" i="15"/>
  <c r="K4" i="15"/>
  <c r="D49" i="17" l="1"/>
  <c r="E49" i="17" s="1"/>
  <c r="E34" i="17"/>
  <c r="D70" i="17"/>
  <c r="E70" i="17" s="1"/>
  <c r="E50" i="17"/>
  <c r="E5" i="17"/>
  <c r="D25" i="17"/>
  <c r="E25" i="17" s="1"/>
  <c r="D71" i="17"/>
  <c r="E71" i="17" s="1"/>
  <c r="U46" i="15"/>
  <c r="K46" i="15"/>
  <c r="F17" i="12"/>
  <c r="D14" i="12"/>
  <c r="D15" i="12"/>
  <c r="D16" i="12"/>
  <c r="D17" i="12"/>
  <c r="D13" i="12"/>
  <c r="E5" i="12"/>
  <c r="E6" i="12"/>
  <c r="E7" i="12"/>
  <c r="E8" i="12"/>
  <c r="E4" i="12"/>
  <c r="I48" i="2" l="1"/>
  <c r="L48" i="2" s="1"/>
  <c r="I49" i="2"/>
  <c r="L49" i="2" s="1"/>
  <c r="I50" i="2"/>
  <c r="L50" i="2" s="1"/>
  <c r="I51" i="2"/>
  <c r="L51" i="2" s="1"/>
  <c r="I52" i="2"/>
  <c r="E48" i="2"/>
  <c r="E49" i="2"/>
  <c r="E50" i="2"/>
  <c r="E51" i="2"/>
  <c r="E52" i="2"/>
  <c r="I18" i="2"/>
  <c r="I19" i="2"/>
  <c r="I20" i="2"/>
  <c r="I21" i="2"/>
  <c r="I22" i="2"/>
  <c r="I312" i="2"/>
  <c r="I311" i="2"/>
  <c r="L311" i="2" s="1"/>
  <c r="I310" i="2"/>
  <c r="L310" i="2" s="1"/>
  <c r="I309" i="2"/>
  <c r="L309" i="2" s="1"/>
  <c r="I308" i="2"/>
  <c r="L308" i="2" s="1"/>
  <c r="E312" i="2"/>
  <c r="E311" i="2"/>
  <c r="E310" i="2"/>
  <c r="E309" i="2"/>
  <c r="E308" i="2"/>
  <c r="I256" i="2"/>
  <c r="L256" i="2" s="1"/>
  <c r="I255" i="2"/>
  <c r="I254" i="2"/>
  <c r="L254" i="2" s="1"/>
  <c r="I253" i="2"/>
  <c r="E257" i="2"/>
  <c r="E256" i="2"/>
  <c r="E255" i="2"/>
  <c r="E254" i="2"/>
  <c r="E253" i="2"/>
  <c r="R253" i="2" l="1"/>
  <c r="S253" i="2" s="1"/>
  <c r="U253" i="2" s="1"/>
  <c r="R255" i="2"/>
  <c r="S255" i="2" s="1"/>
  <c r="U255" i="2" s="1"/>
  <c r="Q52" i="2"/>
  <c r="R52" i="2" s="1"/>
  <c r="S52" i="2" s="1"/>
  <c r="U52" i="2" s="1"/>
  <c r="Q312" i="2"/>
  <c r="Q257" i="2"/>
  <c r="L52" i="2"/>
  <c r="L253" i="2"/>
  <c r="L255" i="2"/>
  <c r="L257" i="2"/>
  <c r="L312" i="2"/>
  <c r="K50" i="2"/>
  <c r="K51" i="2"/>
  <c r="K52" i="2"/>
  <c r="K48" i="2"/>
  <c r="K49" i="2"/>
  <c r="K310" i="2"/>
  <c r="K308" i="2"/>
  <c r="K309" i="2"/>
  <c r="K311" i="2"/>
  <c r="K312" i="2"/>
  <c r="K253" i="2"/>
  <c r="K254" i="2"/>
  <c r="K255" i="2"/>
  <c r="K256" i="2"/>
  <c r="K257" i="2"/>
  <c r="Q309" i="2" l="1"/>
  <c r="R309" i="2" s="1"/>
  <c r="S309" i="2" s="1"/>
  <c r="U309" i="2" s="1"/>
  <c r="R257" i="2"/>
  <c r="S257" i="2" s="1"/>
  <c r="U257" i="2" s="1"/>
  <c r="V257" i="2" s="1"/>
  <c r="R312" i="2"/>
  <c r="S312" i="2" s="1"/>
  <c r="U312" i="2" s="1"/>
  <c r="V312" i="2" s="1"/>
  <c r="Q48" i="2"/>
  <c r="R48" i="2" s="1"/>
  <c r="S48" i="2" s="1"/>
  <c r="U48" i="2" s="1"/>
  <c r="Q50" i="2"/>
  <c r="R50" i="2" s="1"/>
  <c r="S50" i="2" s="1"/>
  <c r="U50" i="2" s="1"/>
  <c r="Q310" i="2"/>
  <c r="Q51" i="2"/>
  <c r="R51" i="2" s="1"/>
  <c r="S51" i="2" s="1"/>
  <c r="U51" i="2" s="1"/>
  <c r="Q256" i="2"/>
  <c r="Q308" i="2"/>
  <c r="Q254" i="2"/>
  <c r="Q311" i="2"/>
  <c r="Q49" i="2"/>
  <c r="R49" i="2" s="1"/>
  <c r="S49" i="2" s="1"/>
  <c r="U49" i="2" s="1"/>
  <c r="V253" i="2"/>
  <c r="V255" i="2"/>
  <c r="V52" i="2"/>
  <c r="R308" i="2" l="1"/>
  <c r="S308" i="2" s="1"/>
  <c r="U308" i="2" s="1"/>
  <c r="R310" i="2"/>
  <c r="S310" i="2" s="1"/>
  <c r="U310" i="2" s="1"/>
  <c r="R256" i="2"/>
  <c r="S256" i="2" s="1"/>
  <c r="U256" i="2" s="1"/>
  <c r="R311" i="2"/>
  <c r="S311" i="2" s="1"/>
  <c r="U311" i="2" s="1"/>
  <c r="R254" i="2"/>
  <c r="S254" i="2" s="1"/>
  <c r="U254" i="2" s="1"/>
  <c r="I4" i="2"/>
  <c r="E267" i="2" l="1"/>
  <c r="E266" i="2"/>
  <c r="E265" i="2"/>
  <c r="E264" i="2"/>
  <c r="E263" i="2"/>
  <c r="I263" i="2"/>
  <c r="I264" i="2"/>
  <c r="I265" i="2"/>
  <c r="I266" i="2"/>
  <c r="I267" i="2"/>
  <c r="I307" i="2"/>
  <c r="E307" i="2"/>
  <c r="I306" i="2"/>
  <c r="E306" i="2"/>
  <c r="I305" i="2"/>
  <c r="E305" i="2"/>
  <c r="I304" i="2"/>
  <c r="E304" i="2"/>
  <c r="I303" i="2"/>
  <c r="E303" i="2"/>
  <c r="I302" i="2"/>
  <c r="E302" i="2"/>
  <c r="I301" i="2"/>
  <c r="E301" i="2"/>
  <c r="I300" i="2"/>
  <c r="E300" i="2"/>
  <c r="I299" i="2"/>
  <c r="E299" i="2"/>
  <c r="I298" i="2"/>
  <c r="E298" i="2"/>
  <c r="I297" i="2"/>
  <c r="E297" i="2"/>
  <c r="I296" i="2"/>
  <c r="E296" i="2"/>
  <c r="I295" i="2"/>
  <c r="E295" i="2"/>
  <c r="I294" i="2"/>
  <c r="E294" i="2"/>
  <c r="I293" i="2"/>
  <c r="E293" i="2"/>
  <c r="I292" i="2"/>
  <c r="E292" i="2"/>
  <c r="I291" i="2"/>
  <c r="E291" i="2"/>
  <c r="I290" i="2"/>
  <c r="E290" i="2"/>
  <c r="I289" i="2"/>
  <c r="E289" i="2"/>
  <c r="I288" i="2"/>
  <c r="E288" i="2"/>
  <c r="I287" i="2"/>
  <c r="E287" i="2"/>
  <c r="I286" i="2"/>
  <c r="E286" i="2"/>
  <c r="I285" i="2"/>
  <c r="E285" i="2"/>
  <c r="I284" i="2"/>
  <c r="E284" i="2"/>
  <c r="I283" i="2"/>
  <c r="E283" i="2"/>
  <c r="I282" i="2"/>
  <c r="E282" i="2"/>
  <c r="I281" i="2"/>
  <c r="E281" i="2"/>
  <c r="I280" i="2"/>
  <c r="E280" i="2"/>
  <c r="I279" i="2"/>
  <c r="E279" i="2"/>
  <c r="I278" i="2"/>
  <c r="E278" i="2"/>
  <c r="I277" i="2"/>
  <c r="E277" i="2"/>
  <c r="I276" i="2"/>
  <c r="E276" i="2"/>
  <c r="I275" i="2"/>
  <c r="E275" i="2"/>
  <c r="I274" i="2"/>
  <c r="E274" i="2"/>
  <c r="I273" i="2"/>
  <c r="E273" i="2"/>
  <c r="I272" i="2"/>
  <c r="E272" i="2"/>
  <c r="I271" i="2"/>
  <c r="E271" i="2"/>
  <c r="I270" i="2"/>
  <c r="E270" i="2"/>
  <c r="I269" i="2"/>
  <c r="E269" i="2"/>
  <c r="I268" i="2"/>
  <c r="E268" i="2"/>
  <c r="I262" i="2"/>
  <c r="E262" i="2"/>
  <c r="I261" i="2"/>
  <c r="E261" i="2"/>
  <c r="I260" i="2"/>
  <c r="E260" i="2"/>
  <c r="I259" i="2"/>
  <c r="E259" i="2"/>
  <c r="I258" i="2"/>
  <c r="E258" i="2"/>
  <c r="I252" i="2"/>
  <c r="E252" i="2"/>
  <c r="I251" i="2"/>
  <c r="E251" i="2"/>
  <c r="I250" i="2"/>
  <c r="E250" i="2"/>
  <c r="I249" i="2"/>
  <c r="E249" i="2"/>
  <c r="I248" i="2"/>
  <c r="E248" i="2"/>
  <c r="I247" i="2"/>
  <c r="E247" i="2"/>
  <c r="I246" i="2"/>
  <c r="E246" i="2"/>
  <c r="I245" i="2"/>
  <c r="E245" i="2"/>
  <c r="I244" i="2"/>
  <c r="E244" i="2"/>
  <c r="I243" i="2"/>
  <c r="E243" i="2"/>
  <c r="I242" i="2"/>
  <c r="E242" i="2"/>
  <c r="I241" i="2"/>
  <c r="E241" i="2"/>
  <c r="I240" i="2"/>
  <c r="E240" i="2"/>
  <c r="I239" i="2"/>
  <c r="E239" i="2"/>
  <c r="I238" i="2"/>
  <c r="E238" i="2"/>
  <c r="I237" i="2"/>
  <c r="E237" i="2"/>
  <c r="I236" i="2"/>
  <c r="E236" i="2"/>
  <c r="I235" i="2"/>
  <c r="E235" i="2"/>
  <c r="I234" i="2"/>
  <c r="E234" i="2"/>
  <c r="I233" i="2"/>
  <c r="E233" i="2"/>
  <c r="I232" i="2"/>
  <c r="E232" i="2"/>
  <c r="I231" i="2"/>
  <c r="E231" i="2"/>
  <c r="I230" i="2"/>
  <c r="E230" i="2"/>
  <c r="I229" i="2"/>
  <c r="E229" i="2"/>
  <c r="I228" i="2"/>
  <c r="E228" i="2"/>
  <c r="I227" i="2"/>
  <c r="E227" i="2"/>
  <c r="I226" i="2"/>
  <c r="E226" i="2"/>
  <c r="I225" i="2"/>
  <c r="E225" i="2"/>
  <c r="I224" i="2"/>
  <c r="E224" i="2"/>
  <c r="I223" i="2"/>
  <c r="E223" i="2"/>
  <c r="I222" i="2"/>
  <c r="E222" i="2"/>
  <c r="I221" i="2"/>
  <c r="E221" i="2"/>
  <c r="I220" i="2"/>
  <c r="E220" i="2"/>
  <c r="I219" i="2"/>
  <c r="E219" i="2"/>
  <c r="I218" i="2"/>
  <c r="E218" i="2"/>
  <c r="I217" i="2"/>
  <c r="E217" i="2"/>
  <c r="I216" i="2"/>
  <c r="E216" i="2"/>
  <c r="I215" i="2"/>
  <c r="E215" i="2"/>
  <c r="I214" i="2"/>
  <c r="E214" i="2"/>
  <c r="I213" i="2"/>
  <c r="E213" i="2"/>
  <c r="I212" i="2"/>
  <c r="E212" i="2"/>
  <c r="I211" i="2"/>
  <c r="E211" i="2"/>
  <c r="I210" i="2"/>
  <c r="E210" i="2"/>
  <c r="I209" i="2"/>
  <c r="E209" i="2"/>
  <c r="I208" i="2"/>
  <c r="E208" i="2"/>
  <c r="I207" i="2"/>
  <c r="E207" i="2"/>
  <c r="I206" i="2"/>
  <c r="E206" i="2"/>
  <c r="I205" i="2"/>
  <c r="E205" i="2"/>
  <c r="I204" i="2"/>
  <c r="E204" i="2"/>
  <c r="I203" i="2"/>
  <c r="E203" i="2"/>
  <c r="I202" i="2"/>
  <c r="E202" i="2"/>
  <c r="I201" i="2"/>
  <c r="E201" i="2"/>
  <c r="I200" i="2"/>
  <c r="E200" i="2"/>
  <c r="I199" i="2"/>
  <c r="E199" i="2"/>
  <c r="I198" i="2"/>
  <c r="E198" i="2"/>
  <c r="I197" i="2"/>
  <c r="E197" i="2"/>
  <c r="I196" i="2"/>
  <c r="E196" i="2"/>
  <c r="I195" i="2"/>
  <c r="E195" i="2"/>
  <c r="I194" i="2"/>
  <c r="E194" i="2"/>
  <c r="I193" i="2"/>
  <c r="E193" i="2"/>
  <c r="I192" i="2"/>
  <c r="E192" i="2"/>
  <c r="I191" i="2"/>
  <c r="E191" i="2"/>
  <c r="I190" i="2"/>
  <c r="E190" i="2"/>
  <c r="I189" i="2"/>
  <c r="E189" i="2"/>
  <c r="I188" i="2"/>
  <c r="E188" i="2"/>
  <c r="I187" i="2"/>
  <c r="E187" i="2"/>
  <c r="I186" i="2"/>
  <c r="E186" i="2"/>
  <c r="I185" i="2"/>
  <c r="E185" i="2"/>
  <c r="I184" i="2"/>
  <c r="E184" i="2"/>
  <c r="I183" i="2"/>
  <c r="E183" i="2"/>
  <c r="I182" i="2"/>
  <c r="E182" i="2"/>
  <c r="I181" i="2"/>
  <c r="E181" i="2"/>
  <c r="I180" i="2"/>
  <c r="E180" i="2"/>
  <c r="I179" i="2"/>
  <c r="E179" i="2"/>
  <c r="I178" i="2"/>
  <c r="E178" i="2"/>
  <c r="I177" i="2"/>
  <c r="E177" i="2"/>
  <c r="I176" i="2"/>
  <c r="E176" i="2"/>
  <c r="I175" i="2"/>
  <c r="E175" i="2"/>
  <c r="I174" i="2"/>
  <c r="E174" i="2"/>
  <c r="I173" i="2"/>
  <c r="E173" i="2"/>
  <c r="I172" i="2"/>
  <c r="E172" i="2"/>
  <c r="I171" i="2"/>
  <c r="E171" i="2"/>
  <c r="I170" i="2"/>
  <c r="E170" i="2"/>
  <c r="I169" i="2"/>
  <c r="E169" i="2"/>
  <c r="I168" i="2"/>
  <c r="E168" i="2"/>
  <c r="I167" i="2"/>
  <c r="E167" i="2"/>
  <c r="I166" i="2"/>
  <c r="E166" i="2"/>
  <c r="I165" i="2"/>
  <c r="E165" i="2"/>
  <c r="I164" i="2"/>
  <c r="E164" i="2"/>
  <c r="I163" i="2"/>
  <c r="E163" i="2"/>
  <c r="I162" i="2"/>
  <c r="E162" i="2"/>
  <c r="I161" i="2"/>
  <c r="E161" i="2"/>
  <c r="I160" i="2"/>
  <c r="E160" i="2"/>
  <c r="I159" i="2"/>
  <c r="E159" i="2"/>
  <c r="I158" i="2"/>
  <c r="E158" i="2"/>
  <c r="I157" i="2"/>
  <c r="E157" i="2"/>
  <c r="I156" i="2"/>
  <c r="E156" i="2"/>
  <c r="I155" i="2"/>
  <c r="E155" i="2"/>
  <c r="I154" i="2"/>
  <c r="E154" i="2"/>
  <c r="I153" i="2"/>
  <c r="E153" i="2"/>
  <c r="I152" i="2"/>
  <c r="E152" i="2"/>
  <c r="I151" i="2"/>
  <c r="E151" i="2"/>
  <c r="I150" i="2"/>
  <c r="E150" i="2"/>
  <c r="I149" i="2"/>
  <c r="E149" i="2"/>
  <c r="I148" i="2"/>
  <c r="E148" i="2"/>
  <c r="I147" i="2"/>
  <c r="E147" i="2"/>
  <c r="I146" i="2"/>
  <c r="E146" i="2"/>
  <c r="I145" i="2"/>
  <c r="E145" i="2"/>
  <c r="I144" i="2"/>
  <c r="E144" i="2"/>
  <c r="I143" i="2"/>
  <c r="E143" i="2"/>
  <c r="I142" i="2"/>
  <c r="E142" i="2"/>
  <c r="I141" i="2"/>
  <c r="E141" i="2"/>
  <c r="I140" i="2"/>
  <c r="E140" i="2"/>
  <c r="I139" i="2"/>
  <c r="E139" i="2"/>
  <c r="I138" i="2"/>
  <c r="E138" i="2"/>
  <c r="I137" i="2"/>
  <c r="E137" i="2"/>
  <c r="I136" i="2"/>
  <c r="E136" i="2"/>
  <c r="I135" i="2"/>
  <c r="E135" i="2"/>
  <c r="I134" i="2"/>
  <c r="E134" i="2"/>
  <c r="I133" i="2"/>
  <c r="E133" i="2"/>
  <c r="I132" i="2"/>
  <c r="E132" i="2"/>
  <c r="I131" i="2"/>
  <c r="E131" i="2"/>
  <c r="I130" i="2"/>
  <c r="E130" i="2"/>
  <c r="I129" i="2"/>
  <c r="E129" i="2"/>
  <c r="I128" i="2"/>
  <c r="E128" i="2"/>
  <c r="I127" i="2"/>
  <c r="E127" i="2"/>
  <c r="I126" i="2"/>
  <c r="E126" i="2"/>
  <c r="I125" i="2"/>
  <c r="E125" i="2"/>
  <c r="I124" i="2"/>
  <c r="E124" i="2"/>
  <c r="I123" i="2"/>
  <c r="E123" i="2"/>
  <c r="I122" i="2"/>
  <c r="E122" i="2"/>
  <c r="I121" i="2"/>
  <c r="E121" i="2"/>
  <c r="I120" i="2"/>
  <c r="E120" i="2"/>
  <c r="I119" i="2"/>
  <c r="E119" i="2"/>
  <c r="I118" i="2"/>
  <c r="E118" i="2"/>
  <c r="I117" i="2"/>
  <c r="E117" i="2"/>
  <c r="I116" i="2"/>
  <c r="E116" i="2"/>
  <c r="I115" i="2"/>
  <c r="E115" i="2"/>
  <c r="I114" i="2"/>
  <c r="E114" i="2"/>
  <c r="I113" i="2"/>
  <c r="E113" i="2"/>
  <c r="I112" i="2"/>
  <c r="E112" i="2"/>
  <c r="I111" i="2"/>
  <c r="E111" i="2"/>
  <c r="I110" i="2"/>
  <c r="E110" i="2"/>
  <c r="I109" i="2"/>
  <c r="E109" i="2"/>
  <c r="I108" i="2"/>
  <c r="E108" i="2"/>
  <c r="I107" i="2"/>
  <c r="E107" i="2"/>
  <c r="I106" i="2"/>
  <c r="E106" i="2"/>
  <c r="I105" i="2"/>
  <c r="E105" i="2"/>
  <c r="I104" i="2"/>
  <c r="E104" i="2"/>
  <c r="I103" i="2"/>
  <c r="E103" i="2"/>
  <c r="I102" i="2"/>
  <c r="E102" i="2"/>
  <c r="I101" i="2"/>
  <c r="E101" i="2"/>
  <c r="I100" i="2"/>
  <c r="E100" i="2"/>
  <c r="I99" i="2"/>
  <c r="E99" i="2"/>
  <c r="I98" i="2"/>
  <c r="E98" i="2"/>
  <c r="I97" i="2"/>
  <c r="E97" i="2"/>
  <c r="I96" i="2"/>
  <c r="E96" i="2"/>
  <c r="I95" i="2"/>
  <c r="E95" i="2"/>
  <c r="I94" i="2"/>
  <c r="E94" i="2"/>
  <c r="I93" i="2"/>
  <c r="E93" i="2"/>
  <c r="I92" i="2"/>
  <c r="E92" i="2"/>
  <c r="I91" i="2"/>
  <c r="E91" i="2"/>
  <c r="I90" i="2"/>
  <c r="E90" i="2"/>
  <c r="I89" i="2"/>
  <c r="E89" i="2"/>
  <c r="I88" i="2"/>
  <c r="E88" i="2"/>
  <c r="I87" i="2"/>
  <c r="E87" i="2"/>
  <c r="I86" i="2"/>
  <c r="E86" i="2"/>
  <c r="I85" i="2"/>
  <c r="E85" i="2"/>
  <c r="I84" i="2"/>
  <c r="E84" i="2"/>
  <c r="I83" i="2"/>
  <c r="E83" i="2"/>
  <c r="I82" i="2"/>
  <c r="E82" i="2"/>
  <c r="I81" i="2"/>
  <c r="E81" i="2"/>
  <c r="I80" i="2"/>
  <c r="E80" i="2"/>
  <c r="I79" i="2"/>
  <c r="E79" i="2"/>
  <c r="I78" i="2"/>
  <c r="E78" i="2"/>
  <c r="I72" i="2"/>
  <c r="E72" i="2"/>
  <c r="I71" i="2"/>
  <c r="E71" i="2"/>
  <c r="I70" i="2"/>
  <c r="E70" i="2"/>
  <c r="I69" i="2"/>
  <c r="E69" i="2"/>
  <c r="I68" i="2"/>
  <c r="E68" i="2"/>
  <c r="I67" i="2"/>
  <c r="E67" i="2"/>
  <c r="I66" i="2"/>
  <c r="E66" i="2"/>
  <c r="I65" i="2"/>
  <c r="E65" i="2"/>
  <c r="I64" i="2"/>
  <c r="E64" i="2"/>
  <c r="I63" i="2"/>
  <c r="E63" i="2"/>
  <c r="I62" i="2"/>
  <c r="E62" i="2"/>
  <c r="I61" i="2"/>
  <c r="E61" i="2"/>
  <c r="I60" i="2"/>
  <c r="R60" i="2" s="1"/>
  <c r="S60" i="2" s="1"/>
  <c r="U60" i="2" s="1"/>
  <c r="E60" i="2"/>
  <c r="I59" i="2"/>
  <c r="E59" i="2"/>
  <c r="I58" i="2"/>
  <c r="E58" i="2"/>
  <c r="I57" i="2"/>
  <c r="E57" i="2"/>
  <c r="I56" i="2"/>
  <c r="E56" i="2"/>
  <c r="I55" i="2"/>
  <c r="E55" i="2"/>
  <c r="I54" i="2"/>
  <c r="E54" i="2"/>
  <c r="I53" i="2"/>
  <c r="E53" i="2"/>
  <c r="I47" i="2"/>
  <c r="E47" i="2"/>
  <c r="I46" i="2"/>
  <c r="E46" i="2"/>
  <c r="I45" i="2"/>
  <c r="E45" i="2"/>
  <c r="I44" i="2"/>
  <c r="E44" i="2"/>
  <c r="I43" i="2"/>
  <c r="E43" i="2"/>
  <c r="I42" i="2"/>
  <c r="E42" i="2"/>
  <c r="I41" i="2"/>
  <c r="E41" i="2"/>
  <c r="I40" i="2"/>
  <c r="E40" i="2"/>
  <c r="I39" i="2"/>
  <c r="E39" i="2"/>
  <c r="I38" i="2"/>
  <c r="R38" i="2" s="1"/>
  <c r="S38" i="2" s="1"/>
  <c r="U38" i="2" s="1"/>
  <c r="E38" i="2"/>
  <c r="I37" i="2"/>
  <c r="E37" i="2"/>
  <c r="I36" i="2"/>
  <c r="E36" i="2"/>
  <c r="I35" i="2"/>
  <c r="R35" i="2" s="1"/>
  <c r="S35" i="2" s="1"/>
  <c r="U35" i="2" s="1"/>
  <c r="E35" i="2"/>
  <c r="I34" i="2"/>
  <c r="E34" i="2"/>
  <c r="I33" i="2"/>
  <c r="E33" i="2"/>
  <c r="I32" i="2"/>
  <c r="E32" i="2"/>
  <c r="I31" i="2"/>
  <c r="E31" i="2"/>
  <c r="I30" i="2"/>
  <c r="R30" i="2" s="1"/>
  <c r="S30" i="2" s="1"/>
  <c r="U30" i="2" s="1"/>
  <c r="E30" i="2"/>
  <c r="I29" i="2"/>
  <c r="R29" i="2" s="1"/>
  <c r="S29" i="2" s="1"/>
  <c r="U29" i="2" s="1"/>
  <c r="E29" i="2"/>
  <c r="I28" i="2"/>
  <c r="E28" i="2"/>
  <c r="I27" i="2"/>
  <c r="E27" i="2"/>
  <c r="I26" i="2"/>
  <c r="E26" i="2"/>
  <c r="I25" i="2"/>
  <c r="E25" i="2"/>
  <c r="I24" i="2"/>
  <c r="E24" i="2"/>
  <c r="I23" i="2"/>
  <c r="R23" i="2" s="1"/>
  <c r="S23" i="2" s="1"/>
  <c r="U23" i="2" s="1"/>
  <c r="E23" i="2"/>
  <c r="E22" i="2"/>
  <c r="E21" i="2"/>
  <c r="E20" i="2"/>
  <c r="E19" i="2"/>
  <c r="E18" i="2"/>
  <c r="I17" i="2"/>
  <c r="E17" i="2"/>
  <c r="I16" i="2"/>
  <c r="E16" i="2"/>
  <c r="I15" i="2"/>
  <c r="E15" i="2"/>
  <c r="I14" i="2"/>
  <c r="E14" i="2"/>
  <c r="I13" i="2"/>
  <c r="E13" i="2"/>
  <c r="I12" i="2"/>
  <c r="E12" i="2"/>
  <c r="I11" i="2"/>
  <c r="E11" i="2"/>
  <c r="I10" i="2"/>
  <c r="E10" i="2"/>
  <c r="I9" i="2"/>
  <c r="E9" i="2"/>
  <c r="I8" i="2"/>
  <c r="E8" i="2"/>
  <c r="I7" i="2"/>
  <c r="E7" i="2"/>
  <c r="I6" i="2"/>
  <c r="E6" i="2"/>
  <c r="I5" i="2"/>
  <c r="R5" i="2" s="1"/>
  <c r="S5" i="2" s="1"/>
  <c r="U5" i="2" s="1"/>
  <c r="L4" i="2"/>
  <c r="E4" i="2"/>
  <c r="I3" i="2"/>
  <c r="L3" i="2" s="1"/>
  <c r="E3" i="2"/>
  <c r="R70" i="2" l="1"/>
  <c r="S70" i="2" s="1"/>
  <c r="U70" i="2" s="1"/>
  <c r="R105" i="2"/>
  <c r="S105" i="2" s="1"/>
  <c r="U105" i="2" s="1"/>
  <c r="R195" i="2"/>
  <c r="S195" i="2" s="1"/>
  <c r="U195" i="2" s="1"/>
  <c r="R243" i="2"/>
  <c r="S243" i="2" s="1"/>
  <c r="U243" i="2" s="1"/>
  <c r="R271" i="2"/>
  <c r="S271" i="2" s="1"/>
  <c r="U271" i="2" s="1"/>
  <c r="R136" i="2"/>
  <c r="S136" i="2" s="1"/>
  <c r="U136" i="2" s="1"/>
  <c r="R244" i="2"/>
  <c r="S244" i="2" s="1"/>
  <c r="U244" i="2" s="1"/>
  <c r="R245" i="2"/>
  <c r="S245" i="2" s="1"/>
  <c r="U245" i="2" s="1"/>
  <c r="R246" i="2"/>
  <c r="S246" i="2" s="1"/>
  <c r="U246" i="2" s="1"/>
  <c r="R170" i="2"/>
  <c r="S170" i="2" s="1"/>
  <c r="U170" i="2" s="1"/>
  <c r="R224" i="2"/>
  <c r="S224" i="2" s="1"/>
  <c r="U224" i="2" s="1"/>
  <c r="R300" i="2"/>
  <c r="S300" i="2" s="1"/>
  <c r="U300" i="2" s="1"/>
  <c r="Q117" i="2"/>
  <c r="Q207" i="2"/>
  <c r="Q307" i="2"/>
  <c r="Q237" i="2"/>
  <c r="Q277" i="2"/>
  <c r="Q172" i="2"/>
  <c r="Q302" i="2"/>
  <c r="Q82" i="2"/>
  <c r="Q112" i="2"/>
  <c r="R112" i="2" s="1"/>
  <c r="Q142" i="2"/>
  <c r="Q72" i="2"/>
  <c r="Q107" i="2"/>
  <c r="Q137" i="2"/>
  <c r="R137" i="2" s="1"/>
  <c r="S137" i="2" s="1"/>
  <c r="U137" i="2" s="1"/>
  <c r="Q167" i="2"/>
  <c r="Q197" i="2"/>
  <c r="Q227" i="2"/>
  <c r="Q262" i="2"/>
  <c r="R262" i="2" s="1"/>
  <c r="S262" i="2" s="1"/>
  <c r="U262" i="2" s="1"/>
  <c r="Q297" i="2"/>
  <c r="Q47" i="2"/>
  <c r="R47" i="2" s="1"/>
  <c r="S47" i="2" s="1"/>
  <c r="U47" i="2" s="1"/>
  <c r="Q37" i="2"/>
  <c r="R37" i="2" s="1"/>
  <c r="S37" i="2" s="1"/>
  <c r="U37" i="2" s="1"/>
  <c r="Q17" i="2"/>
  <c r="R17" i="2" s="1"/>
  <c r="S17" i="2" s="1"/>
  <c r="U17" i="2" s="1"/>
  <c r="Q87" i="2"/>
  <c r="Q147" i="2"/>
  <c r="Q202" i="2"/>
  <c r="Q232" i="2"/>
  <c r="Q272" i="2"/>
  <c r="Q32" i="2"/>
  <c r="R32" i="2" s="1"/>
  <c r="S32" i="2" s="1"/>
  <c r="U32" i="2" s="1"/>
  <c r="Q67" i="2"/>
  <c r="Q102" i="2"/>
  <c r="Q132" i="2"/>
  <c r="Q162" i="2"/>
  <c r="Q192" i="2"/>
  <c r="Q222" i="2"/>
  <c r="Q252" i="2"/>
  <c r="Q292" i="2"/>
  <c r="Q12" i="2"/>
  <c r="R12" i="2" s="1"/>
  <c r="S12" i="2" s="1"/>
  <c r="U12" i="2" s="1"/>
  <c r="Q42" i="2"/>
  <c r="R42" i="2" s="1"/>
  <c r="S42" i="2" s="1"/>
  <c r="U42" i="2" s="1"/>
  <c r="Q27" i="2"/>
  <c r="Q97" i="2"/>
  <c r="Q127" i="2"/>
  <c r="Q157" i="2"/>
  <c r="Q187" i="2"/>
  <c r="Q217" i="2"/>
  <c r="Q247" i="2"/>
  <c r="Q287" i="2"/>
  <c r="Q62" i="2"/>
  <c r="R62" i="2" s="1"/>
  <c r="S62" i="2" s="1"/>
  <c r="U62" i="2" s="1"/>
  <c r="Q7" i="2"/>
  <c r="R7" i="2" s="1"/>
  <c r="S7" i="2" s="1"/>
  <c r="U7" i="2" s="1"/>
  <c r="Q57" i="2"/>
  <c r="R57" i="2" s="1"/>
  <c r="S57" i="2" s="1"/>
  <c r="U57" i="2" s="1"/>
  <c r="Q92" i="2"/>
  <c r="Q122" i="2"/>
  <c r="Q152" i="2"/>
  <c r="Q182" i="2"/>
  <c r="Q212" i="2"/>
  <c r="Q242" i="2"/>
  <c r="Q282" i="2"/>
  <c r="Q177" i="2"/>
  <c r="Q22" i="2"/>
  <c r="R22" i="2" s="1"/>
  <c r="S22" i="2" s="1"/>
  <c r="U22" i="2" s="1"/>
  <c r="Q267" i="2"/>
  <c r="I313" i="2"/>
  <c r="L141" i="2"/>
  <c r="L265" i="2"/>
  <c r="L205" i="2"/>
  <c r="L281" i="2"/>
  <c r="L293" i="2"/>
  <c r="L299" i="2"/>
  <c r="L305" i="2"/>
  <c r="L264" i="2"/>
  <c r="L92" i="2"/>
  <c r="K123" i="2"/>
  <c r="L148" i="2"/>
  <c r="L166" i="2"/>
  <c r="L212" i="2"/>
  <c r="L218" i="2"/>
  <c r="K230" i="2"/>
  <c r="K236" i="2"/>
  <c r="L248" i="2"/>
  <c r="L259" i="2"/>
  <c r="K270" i="2"/>
  <c r="L276" i="2"/>
  <c r="K282" i="2"/>
  <c r="K288" i="2"/>
  <c r="L294" i="2"/>
  <c r="L300" i="2"/>
  <c r="K306" i="2"/>
  <c r="K10" i="2"/>
  <c r="K16" i="2"/>
  <c r="K22" i="2"/>
  <c r="K28" i="2"/>
  <c r="K34" i="2"/>
  <c r="L40" i="2"/>
  <c r="K46" i="2"/>
  <c r="K58" i="2"/>
  <c r="K70" i="2"/>
  <c r="K87" i="2"/>
  <c r="K124" i="2"/>
  <c r="L130" i="2"/>
  <c r="L136" i="2"/>
  <c r="L167" i="2"/>
  <c r="K173" i="2"/>
  <c r="L179" i="2"/>
  <c r="L183" i="2"/>
  <c r="L189" i="2"/>
  <c r="K201" i="2"/>
  <c r="L207" i="2"/>
  <c r="K213" i="2"/>
  <c r="K219" i="2"/>
  <c r="L231" i="2"/>
  <c r="K243" i="2"/>
  <c r="L249" i="2"/>
  <c r="L260" i="2"/>
  <c r="K271" i="2"/>
  <c r="K283" i="2"/>
  <c r="L295" i="2"/>
  <c r="L301" i="2"/>
  <c r="L307" i="2"/>
  <c r="K5" i="2"/>
  <c r="K17" i="2"/>
  <c r="K23" i="2"/>
  <c r="L29" i="2"/>
  <c r="L35" i="2"/>
  <c r="K41" i="2"/>
  <c r="K59" i="2"/>
  <c r="L65" i="2"/>
  <c r="L82" i="2"/>
  <c r="L88" i="2"/>
  <c r="K95" i="2"/>
  <c r="L101" i="2"/>
  <c r="K107" i="2"/>
  <c r="L113" i="2"/>
  <c r="L119" i="2"/>
  <c r="K131" i="2"/>
  <c r="K137" i="2"/>
  <c r="K174" i="2"/>
  <c r="K138" i="2"/>
  <c r="L144" i="2"/>
  <c r="K150" i="2"/>
  <c r="L156" i="2"/>
  <c r="L168" i="2"/>
  <c r="L184" i="2"/>
  <c r="K190" i="2"/>
  <c r="L196" i="2"/>
  <c r="K202" i="2"/>
  <c r="K208" i="2"/>
  <c r="L214" i="2"/>
  <c r="K238" i="2"/>
  <c r="L244" i="2"/>
  <c r="K250" i="2"/>
  <c r="K261" i="2"/>
  <c r="L278" i="2"/>
  <c r="L284" i="2"/>
  <c r="L296" i="2"/>
  <c r="L302" i="2"/>
  <c r="L263" i="2"/>
  <c r="L194" i="2"/>
  <c r="L24" i="2"/>
  <c r="L197" i="2"/>
  <c r="K221" i="2"/>
  <c r="L245" i="2"/>
  <c r="L297" i="2"/>
  <c r="K303" i="2"/>
  <c r="K19" i="2"/>
  <c r="L8" i="2"/>
  <c r="K14" i="2"/>
  <c r="L20" i="2"/>
  <c r="K26" i="2"/>
  <c r="L32" i="2"/>
  <c r="K38" i="2"/>
  <c r="K55" i="2"/>
  <c r="K68" i="2"/>
  <c r="K79" i="2"/>
  <c r="K91" i="2"/>
  <c r="K104" i="2"/>
  <c r="K116" i="2"/>
  <c r="L122" i="2"/>
  <c r="L128" i="2"/>
  <c r="L134" i="2"/>
  <c r="K147" i="2"/>
  <c r="K159" i="2"/>
  <c r="K165" i="2"/>
  <c r="K171" i="2"/>
  <c r="L177" i="2"/>
  <c r="L193" i="2"/>
  <c r="L199" i="2"/>
  <c r="L217" i="2"/>
  <c r="L229" i="2"/>
  <c r="K235" i="2"/>
  <c r="L241" i="2"/>
  <c r="L258" i="2"/>
  <c r="L269" i="2"/>
  <c r="L275" i="2"/>
  <c r="L287" i="2"/>
  <c r="K9" i="2"/>
  <c r="L15" i="2"/>
  <c r="K27" i="2"/>
  <c r="S27" i="2"/>
  <c r="U27" i="2" s="1"/>
  <c r="K33" i="2"/>
  <c r="L45" i="2"/>
  <c r="K56" i="2"/>
  <c r="L63" i="2"/>
  <c r="L69" i="2"/>
  <c r="K80" i="2"/>
  <c r="L105" i="2"/>
  <c r="K111" i="2"/>
  <c r="K117" i="2"/>
  <c r="L135" i="2"/>
  <c r="K142" i="2"/>
  <c r="L160" i="2"/>
  <c r="K172" i="2"/>
  <c r="K188" i="2"/>
  <c r="L12" i="2"/>
  <c r="K18" i="2"/>
  <c r="K30" i="2"/>
  <c r="L36" i="2"/>
  <c r="K42" i="2"/>
  <c r="L53" i="2"/>
  <c r="L60" i="2"/>
  <c r="K66" i="2"/>
  <c r="L72" i="2"/>
  <c r="K83" i="2"/>
  <c r="L89" i="2"/>
  <c r="L108" i="2"/>
  <c r="L120" i="2"/>
  <c r="L126" i="2"/>
  <c r="L132" i="2"/>
  <c r="L139" i="2"/>
  <c r="K163" i="2"/>
  <c r="K169" i="2"/>
  <c r="K175" i="2"/>
  <c r="K180" i="2"/>
  <c r="L185" i="2"/>
  <c r="K203" i="2"/>
  <c r="L215" i="2"/>
  <c r="K233" i="2"/>
  <c r="K239" i="2"/>
  <c r="L273" i="2"/>
  <c r="K279" i="2"/>
  <c r="L285" i="2"/>
  <c r="K7" i="2"/>
  <c r="L13" i="2"/>
  <c r="L25" i="2"/>
  <c r="K31" i="2"/>
  <c r="L37" i="2"/>
  <c r="K54" i="2"/>
  <c r="L61" i="2"/>
  <c r="L67" i="2"/>
  <c r="L78" i="2"/>
  <c r="K84" i="2"/>
  <c r="K97" i="2"/>
  <c r="L115" i="2"/>
  <c r="L121" i="2"/>
  <c r="L127" i="2"/>
  <c r="K133" i="2"/>
  <c r="K146" i="2"/>
  <c r="K164" i="2"/>
  <c r="K170" i="2"/>
  <c r="L176" i="2"/>
  <c r="L186" i="2"/>
  <c r="L222" i="2"/>
  <c r="L228" i="2"/>
  <c r="K234" i="2"/>
  <c r="L246" i="2"/>
  <c r="L268" i="2"/>
  <c r="K280" i="2"/>
  <c r="L286" i="2"/>
  <c r="L292" i="2"/>
  <c r="L298" i="2"/>
  <c r="L304" i="2"/>
  <c r="L266" i="2"/>
  <c r="K247" i="2"/>
  <c r="L277" i="2"/>
  <c r="L267" i="2"/>
  <c r="L242" i="2"/>
  <c r="K262" i="2"/>
  <c r="L252" i="2"/>
  <c r="K267" i="2"/>
  <c r="K265" i="2"/>
  <c r="K266" i="2"/>
  <c r="K264" i="2"/>
  <c r="K263" i="2"/>
  <c r="K25" i="2"/>
  <c r="K136" i="2"/>
  <c r="K168" i="2"/>
  <c r="K260" i="2"/>
  <c r="L133" i="2"/>
  <c r="L165" i="2"/>
  <c r="K24" i="2"/>
  <c r="K135" i="2"/>
  <c r="K167" i="2"/>
  <c r="K259" i="2"/>
  <c r="L172" i="2"/>
  <c r="L164" i="2"/>
  <c r="K134" i="2"/>
  <c r="K166" i="2"/>
  <c r="K258" i="2"/>
  <c r="L171" i="2"/>
  <c r="L163" i="2"/>
  <c r="L27" i="2"/>
  <c r="L170" i="2"/>
  <c r="L262" i="2"/>
  <c r="L26" i="2"/>
  <c r="L137" i="2"/>
  <c r="L169" i="2"/>
  <c r="L261" i="2"/>
  <c r="L203" i="2"/>
  <c r="K246" i="2"/>
  <c r="K186" i="2"/>
  <c r="L282" i="2"/>
  <c r="L234" i="2"/>
  <c r="K245" i="2"/>
  <c r="L233" i="2"/>
  <c r="L306" i="2"/>
  <c r="L58" i="2"/>
  <c r="L84" i="2"/>
  <c r="K156" i="2"/>
  <c r="L138" i="2"/>
  <c r="L91" i="2"/>
  <c r="L123" i="2"/>
  <c r="K141" i="2"/>
  <c r="K177" i="2"/>
  <c r="L188" i="2"/>
  <c r="L190" i="2"/>
  <c r="L221" i="2"/>
  <c r="L238" i="2"/>
  <c r="L202" i="2"/>
  <c r="K212" i="2"/>
  <c r="L279" i="2"/>
  <c r="K72" i="2"/>
  <c r="L19" i="2"/>
  <c r="L280" i="2"/>
  <c r="L201" i="2"/>
  <c r="K276" i="2"/>
  <c r="L117" i="2"/>
  <c r="L97" i="2"/>
  <c r="K92" i="2"/>
  <c r="K113" i="2"/>
  <c r="L33" i="2"/>
  <c r="K176" i="2"/>
  <c r="L247" i="2"/>
  <c r="K295" i="2"/>
  <c r="K307" i="2"/>
  <c r="K29" i="2"/>
  <c r="K36" i="2"/>
  <c r="L104" i="2"/>
  <c r="K217" i="2"/>
  <c r="K4" i="2"/>
  <c r="K155" i="2"/>
  <c r="L9" i="2"/>
  <c r="K268" i="2"/>
  <c r="K222" i="2"/>
  <c r="L226" i="2"/>
  <c r="K226" i="2"/>
  <c r="L272" i="2"/>
  <c r="K272" i="2"/>
  <c r="K275" i="2"/>
  <c r="K93" i="2"/>
  <c r="L93" i="2"/>
  <c r="K132" i="2"/>
  <c r="K181" i="2"/>
  <c r="L181" i="2"/>
  <c r="L198" i="2"/>
  <c r="K198" i="2"/>
  <c r="K216" i="2"/>
  <c r="L216" i="2"/>
  <c r="K211" i="2"/>
  <c r="K274" i="2"/>
  <c r="L274" i="2"/>
  <c r="K63" i="2"/>
  <c r="L209" i="2"/>
  <c r="K209" i="2"/>
  <c r="K112" i="2"/>
  <c r="L112" i="2"/>
  <c r="L220" i="2"/>
  <c r="K220" i="2"/>
  <c r="L239" i="2"/>
  <c r="K200" i="2"/>
  <c r="L200" i="2"/>
  <c r="L225" i="2"/>
  <c r="K225" i="2"/>
  <c r="K60" i="2"/>
  <c r="K148" i="2"/>
  <c r="K6" i="2"/>
  <c r="L6" i="2"/>
  <c r="K101" i="2"/>
  <c r="L109" i="2"/>
  <c r="K109" i="2"/>
  <c r="K192" i="2"/>
  <c r="L192" i="2"/>
  <c r="L103" i="2"/>
  <c r="K103" i="2"/>
  <c r="L140" i="2"/>
  <c r="K140" i="2"/>
  <c r="L290" i="2"/>
  <c r="K290" i="2"/>
  <c r="L153" i="2"/>
  <c r="K153" i="2"/>
  <c r="K47" i="2"/>
  <c r="L47" i="2"/>
  <c r="K227" i="2"/>
  <c r="L227" i="2"/>
  <c r="L206" i="2"/>
  <c r="K206" i="2"/>
  <c r="L210" i="2"/>
  <c r="K210" i="2"/>
  <c r="L57" i="2"/>
  <c r="K57" i="2"/>
  <c r="K237" i="2"/>
  <c r="L237" i="2"/>
  <c r="K205" i="2"/>
  <c r="K244" i="2"/>
  <c r="K249" i="2"/>
  <c r="L17" i="2"/>
  <c r="L95" i="2"/>
  <c r="K179" i="2"/>
  <c r="K189" i="2"/>
  <c r="K197" i="2"/>
  <c r="K242" i="2"/>
  <c r="L271" i="2"/>
  <c r="L288" i="2"/>
  <c r="K300" i="2"/>
  <c r="K37" i="2"/>
  <c r="L87" i="2"/>
  <c r="K105" i="2"/>
  <c r="L146" i="2"/>
  <c r="L174" i="2"/>
  <c r="K184" i="2"/>
  <c r="K194" i="2"/>
  <c r="L213" i="2"/>
  <c r="K218" i="2"/>
  <c r="L230" i="2"/>
  <c r="L283" i="2"/>
  <c r="K296" i="2"/>
  <c r="K298" i="2"/>
  <c r="L303" i="2"/>
  <c r="K215" i="2"/>
  <c r="K20" i="2"/>
  <c r="L80" i="2"/>
  <c r="L159" i="2"/>
  <c r="K115" i="2"/>
  <c r="K199" i="2"/>
  <c r="K214" i="2"/>
  <c r="K241" i="2"/>
  <c r="K304" i="2"/>
  <c r="L54" i="2"/>
  <c r="K121" i="2"/>
  <c r="K160" i="2"/>
  <c r="L180" i="2"/>
  <c r="K229" i="2"/>
  <c r="K231" i="2"/>
  <c r="L243" i="2"/>
  <c r="L250" i="2"/>
  <c r="K284" i="2"/>
  <c r="K287" i="2"/>
  <c r="K292" i="2"/>
  <c r="K299" i="2"/>
  <c r="L147" i="2"/>
  <c r="L175" i="2"/>
  <c r="L124" i="2"/>
  <c r="L270" i="2"/>
  <c r="L42" i="2"/>
  <c r="L102" i="2"/>
  <c r="K102" i="2"/>
  <c r="K62" i="2"/>
  <c r="L62" i="2"/>
  <c r="L71" i="2"/>
  <c r="K71" i="2"/>
  <c r="L79" i="2"/>
  <c r="L152" i="2"/>
  <c r="K152" i="2"/>
  <c r="K88" i="2"/>
  <c r="K100" i="2"/>
  <c r="K3" i="2"/>
  <c r="L16" i="2"/>
  <c r="L204" i="2"/>
  <c r="K204" i="2"/>
  <c r="K191" i="2"/>
  <c r="K240" i="2"/>
  <c r="L240" i="2"/>
  <c r="K251" i="2"/>
  <c r="K39" i="2"/>
  <c r="L39" i="2"/>
  <c r="L208" i="2"/>
  <c r="L34" i="2"/>
  <c r="K286" i="2"/>
  <c r="K127" i="2"/>
  <c r="L100" i="2"/>
  <c r="K21" i="2"/>
  <c r="L21" i="2"/>
  <c r="K69" i="2"/>
  <c r="L86" i="2"/>
  <c r="K86" i="2"/>
  <c r="L11" i="2"/>
  <c r="K11" i="2"/>
  <c r="K44" i="2"/>
  <c r="L44" i="2"/>
  <c r="L125" i="2"/>
  <c r="K125" i="2"/>
  <c r="L191" i="2"/>
  <c r="K224" i="2"/>
  <c r="L224" i="2"/>
  <c r="L251" i="2"/>
  <c r="K96" i="2"/>
  <c r="L96" i="2"/>
  <c r="K13" i="2"/>
  <c r="L98" i="2"/>
  <c r="K98" i="2"/>
  <c r="K129" i="2"/>
  <c r="L129" i="2"/>
  <c r="K81" i="2"/>
  <c r="L81" i="2"/>
  <c r="K154" i="2"/>
  <c r="L154" i="2"/>
  <c r="L64" i="2"/>
  <c r="K64" i="2"/>
  <c r="L94" i="2"/>
  <c r="K94" i="2"/>
  <c r="L106" i="2"/>
  <c r="K106" i="2"/>
  <c r="L158" i="2"/>
  <c r="K158" i="2"/>
  <c r="L114" i="2"/>
  <c r="K114" i="2"/>
  <c r="K8" i="2"/>
  <c r="L56" i="2"/>
  <c r="K15" i="2"/>
  <c r="L28" i="2"/>
  <c r="K35" i="2"/>
  <c r="K151" i="2"/>
  <c r="L151" i="2"/>
  <c r="K12" i="2"/>
  <c r="K45" i="2"/>
  <c r="L70" i="2"/>
  <c r="K82" i="2"/>
  <c r="K122" i="2"/>
  <c r="L145" i="2"/>
  <c r="K145" i="2"/>
  <c r="L155" i="2"/>
  <c r="L161" i="2"/>
  <c r="K161" i="2"/>
  <c r="K185" i="2"/>
  <c r="L211" i="2"/>
  <c r="L7" i="2"/>
  <c r="K32" i="2"/>
  <c r="K65" i="2"/>
  <c r="K89" i="2"/>
  <c r="L111" i="2"/>
  <c r="K139" i="2"/>
  <c r="K143" i="2"/>
  <c r="L143" i="2"/>
  <c r="L149" i="2"/>
  <c r="K149" i="2"/>
  <c r="L157" i="2"/>
  <c r="K157" i="2"/>
  <c r="L22" i="2"/>
  <c r="K40" i="2"/>
  <c r="L55" i="2"/>
  <c r="K67" i="2"/>
  <c r="L131" i="2"/>
  <c r="K187" i="2"/>
  <c r="L187" i="2"/>
  <c r="K193" i="2"/>
  <c r="L235" i="2"/>
  <c r="K144" i="2"/>
  <c r="K196" i="2"/>
  <c r="L31" i="2"/>
  <c r="K120" i="2"/>
  <c r="L142" i="2"/>
  <c r="K252" i="2"/>
  <c r="K130" i="2"/>
  <c r="L5" i="2"/>
  <c r="L10" i="2"/>
  <c r="L23" i="2"/>
  <c r="L41" i="2"/>
  <c r="K53" i="2"/>
  <c r="L59" i="2"/>
  <c r="L68" i="2"/>
  <c r="K78" i="2"/>
  <c r="K294" i="2"/>
  <c r="K248" i="2"/>
  <c r="L85" i="2"/>
  <c r="K128" i="2"/>
  <c r="L173" i="2"/>
  <c r="L38" i="2"/>
  <c r="L178" i="2"/>
  <c r="K178" i="2"/>
  <c r="K207" i="2"/>
  <c r="L219" i="2"/>
  <c r="L232" i="2"/>
  <c r="K232" i="2"/>
  <c r="L66" i="2"/>
  <c r="L150" i="2"/>
  <c r="L18" i="2"/>
  <c r="K85" i="2"/>
  <c r="K90" i="2"/>
  <c r="L90" i="2"/>
  <c r="L116" i="2"/>
  <c r="L43" i="2"/>
  <c r="K43" i="2"/>
  <c r="K183" i="2"/>
  <c r="L110" i="2"/>
  <c r="K110" i="2"/>
  <c r="K162" i="2"/>
  <c r="L162" i="2"/>
  <c r="L223" i="2"/>
  <c r="K223" i="2"/>
  <c r="K289" i="2"/>
  <c r="K291" i="2"/>
  <c r="L14" i="2"/>
  <c r="L30" i="2"/>
  <c r="L46" i="2"/>
  <c r="K61" i="2"/>
  <c r="L83" i="2"/>
  <c r="K99" i="2"/>
  <c r="L99" i="2"/>
  <c r="K108" i="2"/>
  <c r="K119" i="2"/>
  <c r="L289" i="2"/>
  <c r="L291" i="2"/>
  <c r="L107" i="2"/>
  <c r="L118" i="2"/>
  <c r="K118" i="2"/>
  <c r="K126" i="2"/>
  <c r="K195" i="2"/>
  <c r="L195" i="2"/>
  <c r="L236" i="2"/>
  <c r="K273" i="2"/>
  <c r="K297" i="2"/>
  <c r="L182" i="2"/>
  <c r="K182" i="2"/>
  <c r="K281" i="2"/>
  <c r="K305" i="2"/>
  <c r="K278" i="2"/>
  <c r="K302" i="2"/>
  <c r="K228" i="2"/>
  <c r="K269" i="2"/>
  <c r="K277" i="2"/>
  <c r="K285" i="2"/>
  <c r="K293" i="2"/>
  <c r="K301" i="2"/>
  <c r="Q236" i="2" l="1"/>
  <c r="R236" i="2" s="1"/>
  <c r="S236" i="2" s="1"/>
  <c r="U236" i="2" s="1"/>
  <c r="V236" i="2" s="1"/>
  <c r="Q235" i="2"/>
  <c r="R235" i="2" s="1"/>
  <c r="S235" i="2" s="1"/>
  <c r="U235" i="2" s="1"/>
  <c r="V235" i="2" s="1"/>
  <c r="Q201" i="2"/>
  <c r="R201" i="2" s="1"/>
  <c r="S201" i="2" s="1"/>
  <c r="U201" i="2" s="1"/>
  <c r="Q238" i="2"/>
  <c r="R238" i="2" s="1"/>
  <c r="S238" i="2" s="1"/>
  <c r="U238" i="2" s="1"/>
  <c r="Q125" i="2"/>
  <c r="R125" i="2" s="1"/>
  <c r="S125" i="2" s="1"/>
  <c r="U125" i="2" s="1"/>
  <c r="Q69" i="2"/>
  <c r="R69" i="2" s="1"/>
  <c r="S69" i="2" s="1"/>
  <c r="U69" i="2" s="1"/>
  <c r="Q45" i="2"/>
  <c r="R45" i="2" s="1"/>
  <c r="S45" i="2" s="1"/>
  <c r="U45" i="2" s="1"/>
  <c r="Q10" i="2"/>
  <c r="R10" i="2" s="1"/>
  <c r="S10" i="2" s="1"/>
  <c r="U10" i="2" s="1"/>
  <c r="Q130" i="2"/>
  <c r="R130" i="2" s="1"/>
  <c r="S130" i="2" s="1"/>
  <c r="U130" i="2" s="1"/>
  <c r="Q230" i="2"/>
  <c r="R230" i="2" s="1"/>
  <c r="S230" i="2" s="1"/>
  <c r="U230" i="2" s="1"/>
  <c r="Q210" i="2"/>
  <c r="R210" i="2" s="1"/>
  <c r="S210" i="2" s="1"/>
  <c r="U210" i="2" s="1"/>
  <c r="Q9" i="2"/>
  <c r="R9" i="2" s="1"/>
  <c r="S9" i="2" s="1"/>
  <c r="U9" i="2" s="1"/>
  <c r="V262" i="2"/>
  <c r="Q306" i="2"/>
  <c r="R306" i="2" s="1"/>
  <c r="S306" i="2" s="1"/>
  <c r="U306" i="2" s="1"/>
  <c r="Q129" i="2"/>
  <c r="R129" i="2" s="1"/>
  <c r="S129" i="2" s="1"/>
  <c r="U129" i="2" s="1"/>
  <c r="Q100" i="2"/>
  <c r="R100" i="2" s="1"/>
  <c r="S100" i="2" s="1"/>
  <c r="U100" i="2" s="1"/>
  <c r="Q41" i="2"/>
  <c r="R41" i="2" s="1"/>
  <c r="S41" i="2" s="1"/>
  <c r="U41" i="2" s="1"/>
  <c r="Q126" i="2"/>
  <c r="R126" i="2" s="1"/>
  <c r="S126" i="2" s="1"/>
  <c r="U126" i="2" s="1"/>
  <c r="R107" i="2"/>
  <c r="S107" i="2" s="1"/>
  <c r="U107" i="2" s="1"/>
  <c r="V107" i="2" s="1"/>
  <c r="R252" i="2"/>
  <c r="S252" i="2" s="1"/>
  <c r="U252" i="2" s="1"/>
  <c r="V252" i="2" s="1"/>
  <c r="R97" i="2"/>
  <c r="S97" i="2" s="1"/>
  <c r="U97" i="2" s="1"/>
  <c r="V97" i="2" s="1"/>
  <c r="R132" i="2"/>
  <c r="S132" i="2" s="1"/>
  <c r="U132" i="2" s="1"/>
  <c r="V132" i="2" s="1"/>
  <c r="R102" i="2"/>
  <c r="S102" i="2" s="1"/>
  <c r="U102" i="2" s="1"/>
  <c r="V102" i="2" s="1"/>
  <c r="R67" i="2"/>
  <c r="S67" i="2" s="1"/>
  <c r="U67" i="2" s="1"/>
  <c r="V67" i="2" s="1"/>
  <c r="R82" i="2"/>
  <c r="S82" i="2" s="1"/>
  <c r="U82" i="2" s="1"/>
  <c r="V82" i="2" s="1"/>
  <c r="R237" i="2"/>
  <c r="S237" i="2" s="1"/>
  <c r="U237" i="2" s="1"/>
  <c r="V237" i="2" s="1"/>
  <c r="Q289" i="2"/>
  <c r="Q219" i="2"/>
  <c r="R267" i="2"/>
  <c r="S267" i="2" s="1"/>
  <c r="U267" i="2" s="1"/>
  <c r="V267" i="2" s="1"/>
  <c r="Q250" i="2"/>
  <c r="R227" i="2"/>
  <c r="S227" i="2" s="1"/>
  <c r="U227" i="2" s="1"/>
  <c r="V227" i="2" s="1"/>
  <c r="R207" i="2"/>
  <c r="S207" i="2" s="1"/>
  <c r="U207" i="2" s="1"/>
  <c r="V207" i="2" s="1"/>
  <c r="R297" i="2"/>
  <c r="S297" i="2" s="1"/>
  <c r="U297" i="2" s="1"/>
  <c r="V297" i="2" s="1"/>
  <c r="R197" i="2"/>
  <c r="S197" i="2" s="1"/>
  <c r="U197" i="2" s="1"/>
  <c r="V197" i="2" s="1"/>
  <c r="R72" i="2"/>
  <c r="S72" i="2" s="1"/>
  <c r="U72" i="2" s="1"/>
  <c r="V72" i="2" s="1"/>
  <c r="R172" i="2"/>
  <c r="S172" i="2" s="1"/>
  <c r="U172" i="2" s="1"/>
  <c r="V172" i="2" s="1"/>
  <c r="R282" i="2"/>
  <c r="S282" i="2" s="1"/>
  <c r="U282" i="2" s="1"/>
  <c r="V282" i="2" s="1"/>
  <c r="R127" i="2"/>
  <c r="S127" i="2" s="1"/>
  <c r="U127" i="2" s="1"/>
  <c r="V127" i="2" s="1"/>
  <c r="R162" i="2"/>
  <c r="S162" i="2" s="1"/>
  <c r="U162" i="2" s="1"/>
  <c r="V162" i="2" s="1"/>
  <c r="R117" i="2"/>
  <c r="S117" i="2" s="1"/>
  <c r="U117" i="2" s="1"/>
  <c r="V117" i="2" s="1"/>
  <c r="R242" i="2"/>
  <c r="S242" i="2" s="1"/>
  <c r="U242" i="2" s="1"/>
  <c r="V242" i="2" s="1"/>
  <c r="Q169" i="2"/>
  <c r="Q304" i="2"/>
  <c r="Q61" i="2"/>
  <c r="R61" i="2" s="1"/>
  <c r="S61" i="2" s="1"/>
  <c r="U61" i="2" s="1"/>
  <c r="R232" i="2"/>
  <c r="S232" i="2" s="1"/>
  <c r="U232" i="2" s="1"/>
  <c r="V232" i="2" s="1"/>
  <c r="R167" i="2"/>
  <c r="S167" i="2" s="1"/>
  <c r="U167" i="2" s="1"/>
  <c r="V167" i="2" s="1"/>
  <c r="R122" i="2"/>
  <c r="S122" i="2" s="1"/>
  <c r="U122" i="2" s="1"/>
  <c r="V122" i="2" s="1"/>
  <c r="R217" i="2"/>
  <c r="S217" i="2" s="1"/>
  <c r="U217" i="2" s="1"/>
  <c r="V217" i="2" s="1"/>
  <c r="R302" i="2"/>
  <c r="S302" i="2" s="1"/>
  <c r="U302" i="2" s="1"/>
  <c r="V302" i="2" s="1"/>
  <c r="R307" i="2"/>
  <c r="S307" i="2" s="1"/>
  <c r="U307" i="2" s="1"/>
  <c r="V307" i="2" s="1"/>
  <c r="R272" i="2"/>
  <c r="S272" i="2" s="1"/>
  <c r="U272" i="2" s="1"/>
  <c r="V272" i="2" s="1"/>
  <c r="Q43" i="2"/>
  <c r="R43" i="2" s="1"/>
  <c r="S43" i="2" s="1"/>
  <c r="U43" i="2" s="1"/>
  <c r="R152" i="2"/>
  <c r="S152" i="2" s="1"/>
  <c r="U152" i="2" s="1"/>
  <c r="V152" i="2" s="1"/>
  <c r="Q98" i="2"/>
  <c r="R287" i="2"/>
  <c r="S287" i="2" s="1"/>
  <c r="U287" i="2" s="1"/>
  <c r="V287" i="2" s="1"/>
  <c r="R202" i="2"/>
  <c r="S202" i="2" s="1"/>
  <c r="U202" i="2" s="1"/>
  <c r="V202" i="2" s="1"/>
  <c r="R177" i="2"/>
  <c r="S177" i="2" s="1"/>
  <c r="U177" i="2" s="1"/>
  <c r="V177" i="2" s="1"/>
  <c r="Q259" i="2"/>
  <c r="R212" i="2"/>
  <c r="S212" i="2" s="1"/>
  <c r="U212" i="2" s="1"/>
  <c r="V212" i="2" s="1"/>
  <c r="R247" i="2"/>
  <c r="S247" i="2" s="1"/>
  <c r="U247" i="2" s="1"/>
  <c r="V247" i="2" s="1"/>
  <c r="R147" i="2"/>
  <c r="S147" i="2" s="1"/>
  <c r="U147" i="2" s="1"/>
  <c r="V147" i="2" s="1"/>
  <c r="R182" i="2"/>
  <c r="S182" i="2" s="1"/>
  <c r="U182" i="2" s="1"/>
  <c r="V182" i="2" s="1"/>
  <c r="R92" i="2"/>
  <c r="S92" i="2" s="1"/>
  <c r="U92" i="2" s="1"/>
  <c r="V92" i="2" s="1"/>
  <c r="R87" i="2"/>
  <c r="S87" i="2" s="1"/>
  <c r="U87" i="2" s="1"/>
  <c r="V87" i="2" s="1"/>
  <c r="Q211" i="2"/>
  <c r="R187" i="2"/>
  <c r="S187" i="2" s="1"/>
  <c r="U187" i="2" s="1"/>
  <c r="V187" i="2" s="1"/>
  <c r="Q103" i="2"/>
  <c r="R222" i="2"/>
  <c r="S222" i="2" s="1"/>
  <c r="U222" i="2" s="1"/>
  <c r="V222" i="2" s="1"/>
  <c r="Q138" i="2"/>
  <c r="R157" i="2"/>
  <c r="S157" i="2" s="1"/>
  <c r="U157" i="2" s="1"/>
  <c r="V157" i="2" s="1"/>
  <c r="Q39" i="2"/>
  <c r="R39" i="2" s="1"/>
  <c r="S39" i="2" s="1"/>
  <c r="U39" i="2" s="1"/>
  <c r="R292" i="2"/>
  <c r="S292" i="2" s="1"/>
  <c r="U292" i="2" s="1"/>
  <c r="V292" i="2" s="1"/>
  <c r="R192" i="2"/>
  <c r="S192" i="2" s="1"/>
  <c r="U192" i="2" s="1"/>
  <c r="V192" i="2" s="1"/>
  <c r="Q11" i="2"/>
  <c r="R11" i="2" s="1"/>
  <c r="S11" i="2" s="1"/>
  <c r="U11" i="2" s="1"/>
  <c r="Q141" i="2"/>
  <c r="R142" i="2"/>
  <c r="S142" i="2" s="1"/>
  <c r="U142" i="2" s="1"/>
  <c r="V142" i="2" s="1"/>
  <c r="R277" i="2"/>
  <c r="S277" i="2" s="1"/>
  <c r="U277" i="2" s="1"/>
  <c r="V277" i="2" s="1"/>
  <c r="Q231" i="2"/>
  <c r="S112" i="2"/>
  <c r="Q101" i="2"/>
  <c r="Q221" i="2"/>
  <c r="Q165" i="2"/>
  <c r="Q161" i="2"/>
  <c r="Q40" i="2"/>
  <c r="R40" i="2" s="1"/>
  <c r="S40" i="2" s="1"/>
  <c r="U40" i="2" s="1"/>
  <c r="Q293" i="2"/>
  <c r="Q185" i="2"/>
  <c r="Q116" i="2"/>
  <c r="Q294" i="2"/>
  <c r="Q199" i="2"/>
  <c r="Q19" i="2"/>
  <c r="R19" i="2" s="1"/>
  <c r="S19" i="2" s="1"/>
  <c r="U19" i="2" s="1"/>
  <c r="Q139" i="2"/>
  <c r="Q174" i="2"/>
  <c r="Q90" i="2"/>
  <c r="Q88" i="2"/>
  <c r="Q66" i="2"/>
  <c r="R66" i="2" s="1"/>
  <c r="S66" i="2" s="1"/>
  <c r="U66" i="2" s="1"/>
  <c r="Q149" i="2"/>
  <c r="Q8" i="2"/>
  <c r="R8" i="2" s="1"/>
  <c r="S8" i="2" s="1"/>
  <c r="U8" i="2" s="1"/>
  <c r="Q146" i="2"/>
  <c r="Q123" i="2"/>
  <c r="Q268" i="2"/>
  <c r="Q225" i="2"/>
  <c r="Q206" i="2"/>
  <c r="Q196" i="2"/>
  <c r="Q56" i="2"/>
  <c r="R56" i="2" s="1"/>
  <c r="S56" i="2" s="1"/>
  <c r="U56" i="2" s="1"/>
  <c r="Q298" i="2"/>
  <c r="Q226" i="2"/>
  <c r="Q241" i="2"/>
  <c r="Q284" i="2"/>
  <c r="Q248" i="2"/>
  <c r="Q111" i="2"/>
  <c r="Q16" i="2"/>
  <c r="R16" i="2" s="1"/>
  <c r="S16" i="2" s="1"/>
  <c r="U16" i="2" s="1"/>
  <c r="Q63" i="2"/>
  <c r="R63" i="2" s="1"/>
  <c r="S63" i="2" s="1"/>
  <c r="U63" i="2" s="1"/>
  <c r="Q214" i="2"/>
  <c r="Q216" i="2"/>
  <c r="Q108" i="2"/>
  <c r="Q251" i="2"/>
  <c r="Q191" i="2"/>
  <c r="Q270" i="2"/>
  <c r="Q194" i="2"/>
  <c r="Q175" i="2"/>
  <c r="Q33" i="2"/>
  <c r="R33" i="2" s="1"/>
  <c r="S33" i="2" s="1"/>
  <c r="U33" i="2" s="1"/>
  <c r="Q13" i="2"/>
  <c r="R13" i="2" s="1"/>
  <c r="S13" i="2" s="1"/>
  <c r="U13" i="2" s="1"/>
  <c r="Q286" i="2"/>
  <c r="Q14" i="2"/>
  <c r="R14" i="2" s="1"/>
  <c r="S14" i="2" s="1"/>
  <c r="U14" i="2" s="1"/>
  <c r="Q46" i="2"/>
  <c r="R46" i="2" s="1"/>
  <c r="S46" i="2" s="1"/>
  <c r="U46" i="2" s="1"/>
  <c r="Q24" i="2"/>
  <c r="R24" i="2" s="1"/>
  <c r="S24" i="2" s="1"/>
  <c r="U24" i="2" s="1"/>
  <c r="Q158" i="2"/>
  <c r="Q104" i="2"/>
  <c r="Q229" i="2"/>
  <c r="Q145" i="2"/>
  <c r="Q128" i="2"/>
  <c r="Q58" i="2"/>
  <c r="R58" i="2" s="1"/>
  <c r="S58" i="2" s="1"/>
  <c r="U58" i="2" s="1"/>
  <c r="Q34" i="2"/>
  <c r="R34" i="2" s="1"/>
  <c r="S34" i="2" s="1"/>
  <c r="U34" i="2" s="1"/>
  <c r="Q188" i="2"/>
  <c r="Q223" i="2"/>
  <c r="Q68" i="2"/>
  <c r="Q204" i="2"/>
  <c r="Q120" i="2"/>
  <c r="Q131" i="2"/>
  <c r="Q86" i="2"/>
  <c r="Q21" i="2"/>
  <c r="R21" i="2" s="1"/>
  <c r="S21" i="2" s="1"/>
  <c r="U21" i="2" s="1"/>
  <c r="Q28" i="2"/>
  <c r="R28" i="2" s="1"/>
  <c r="S28" i="2" s="1"/>
  <c r="U28" i="2" s="1"/>
  <c r="Q265" i="2"/>
  <c r="Q193" i="2"/>
  <c r="Q109" i="2"/>
  <c r="Q6" i="2"/>
  <c r="R6" i="2" s="1"/>
  <c r="S6" i="2" s="1"/>
  <c r="U6" i="2" s="1"/>
  <c r="Q65" i="2"/>
  <c r="R65" i="2" s="1"/>
  <c r="S65" i="2" s="1"/>
  <c r="U65" i="2" s="1"/>
  <c r="Q274" i="2"/>
  <c r="Q198" i="2"/>
  <c r="Q114" i="2"/>
  <c r="Q55" i="2"/>
  <c r="R55" i="2" s="1"/>
  <c r="S55" i="2" s="1"/>
  <c r="U55" i="2" s="1"/>
  <c r="Q266" i="2"/>
  <c r="Q288" i="2"/>
  <c r="Q79" i="2"/>
  <c r="Q264" i="2"/>
  <c r="Q281" i="2"/>
  <c r="Q163" i="2"/>
  <c r="Q228" i="2"/>
  <c r="Q144" i="2"/>
  <c r="Q89" i="2"/>
  <c r="Q203" i="2"/>
  <c r="Q173" i="2"/>
  <c r="Q153" i="2"/>
  <c r="Q296" i="2"/>
  <c r="Q15" i="2"/>
  <c r="R15" i="2" s="1"/>
  <c r="S15" i="2" s="1"/>
  <c r="U15" i="2" s="1"/>
  <c r="Q95" i="2"/>
  <c r="Q208" i="2"/>
  <c r="Q283" i="2"/>
  <c r="Q80" i="2"/>
  <c r="Q133" i="2"/>
  <c r="Q64" i="2"/>
  <c r="R64" i="2" s="1"/>
  <c r="S64" i="2" s="1"/>
  <c r="U64" i="2" s="1"/>
  <c r="Q159" i="2"/>
  <c r="Q168" i="2"/>
  <c r="Q84" i="2"/>
  <c r="Q166" i="2"/>
  <c r="Q291" i="2"/>
  <c r="Q143" i="2"/>
  <c r="Q93" i="2"/>
  <c r="Q81" i="2"/>
  <c r="Q171" i="2"/>
  <c r="Q305" i="2"/>
  <c r="Q181" i="2"/>
  <c r="Q113" i="2"/>
  <c r="Q186" i="2"/>
  <c r="Q78" i="2"/>
  <c r="Q44" i="2"/>
  <c r="R44" i="2" s="1"/>
  <c r="S44" i="2" s="1"/>
  <c r="U44" i="2" s="1"/>
  <c r="Q31" i="2"/>
  <c r="R31" i="2" s="1"/>
  <c r="S31" i="2" s="1"/>
  <c r="U31" i="2" s="1"/>
  <c r="Q148" i="2"/>
  <c r="Q278" i="2"/>
  <c r="Q36" i="2"/>
  <c r="R36" i="2" s="1"/>
  <c r="S36" i="2" s="1"/>
  <c r="U36" i="2" s="1"/>
  <c r="Q54" i="2"/>
  <c r="R54" i="2" s="1"/>
  <c r="S54" i="2" s="1"/>
  <c r="U54" i="2" s="1"/>
  <c r="Q160" i="2"/>
  <c r="Q213" i="2"/>
  <c r="Q59" i="2"/>
  <c r="R59" i="2" s="1"/>
  <c r="S59" i="2" s="1"/>
  <c r="U59" i="2" s="1"/>
  <c r="Q94" i="2"/>
  <c r="Q26" i="2"/>
  <c r="R26" i="2" s="1"/>
  <c r="S26" i="2" s="1"/>
  <c r="U26" i="2" s="1"/>
  <c r="Q220" i="2"/>
  <c r="Q285" i="2"/>
  <c r="Q184" i="2"/>
  <c r="Q301" i="2"/>
  <c r="Q249" i="2"/>
  <c r="Q276" i="2"/>
  <c r="Q275" i="2"/>
  <c r="Q121" i="2"/>
  <c r="Q263" i="2"/>
  <c r="Q240" i="2"/>
  <c r="Q156" i="2"/>
  <c r="Q215" i="2"/>
  <c r="Q25" i="2"/>
  <c r="R25" i="2" s="1"/>
  <c r="S25" i="2" s="1"/>
  <c r="Q106" i="2"/>
  <c r="Q20" i="2"/>
  <c r="R20" i="2" s="1"/>
  <c r="S20" i="2" s="1"/>
  <c r="U20" i="2" s="1"/>
  <c r="Q18" i="2"/>
  <c r="R18" i="2" s="1"/>
  <c r="S18" i="2" s="1"/>
  <c r="U18" i="2" s="1"/>
  <c r="Q261" i="2"/>
  <c r="Q183" i="2"/>
  <c r="Q83" i="2"/>
  <c r="Q154" i="2"/>
  <c r="Q99" i="2"/>
  <c r="Q280" i="2"/>
  <c r="Q234" i="2"/>
  <c r="Q150" i="2"/>
  <c r="Q4" i="2"/>
  <c r="R4" i="2" s="1"/>
  <c r="S4" i="2" s="1"/>
  <c r="U4" i="2" s="1"/>
  <c r="Q218" i="2"/>
  <c r="Q91" i="2"/>
  <c r="Q135" i="2"/>
  <c r="Q258" i="2"/>
  <c r="Q115" i="2"/>
  <c r="Q190" i="2"/>
  <c r="Q124" i="2"/>
  <c r="Q180" i="2"/>
  <c r="Q96" i="2"/>
  <c r="Q118" i="2"/>
  <c r="Q119" i="2"/>
  <c r="Q239" i="2"/>
  <c r="Q209" i="2"/>
  <c r="Q155" i="2"/>
  <c r="Q53" i="2"/>
  <c r="R53" i="2" s="1"/>
  <c r="S53" i="2" s="1"/>
  <c r="U53" i="2" s="1"/>
  <c r="Q295" i="2"/>
  <c r="Q140" i="2"/>
  <c r="Q200" i="2"/>
  <c r="Q151" i="2"/>
  <c r="Q205" i="2"/>
  <c r="Q269" i="2"/>
  <c r="Q178" i="2"/>
  <c r="Q303" i="2"/>
  <c r="Q279" i="2"/>
  <c r="Q176" i="2"/>
  <c r="Q110" i="2"/>
  <c r="Q164" i="2"/>
  <c r="Q71" i="2"/>
  <c r="Q134" i="2"/>
  <c r="Q299" i="2"/>
  <c r="Q85" i="2"/>
  <c r="Q273" i="2"/>
  <c r="Q233" i="2"/>
  <c r="Q179" i="2"/>
  <c r="Q290" i="2"/>
  <c r="Q260" i="2"/>
  <c r="Q189" i="2"/>
  <c r="M313" i="2"/>
  <c r="N313" i="2"/>
  <c r="O313" i="2"/>
  <c r="V62" i="2"/>
  <c r="V195" i="2"/>
  <c r="V57" i="2"/>
  <c r="V47" i="2"/>
  <c r="V12" i="2"/>
  <c r="V300" i="2"/>
  <c r="V245" i="2"/>
  <c r="V105" i="2"/>
  <c r="V60" i="2"/>
  <c r="V37" i="2"/>
  <c r="V35" i="2"/>
  <c r="V22" i="2"/>
  <c r="V70" i="2"/>
  <c r="V42" i="2"/>
  <c r="V23" i="2"/>
  <c r="V17" i="2"/>
  <c r="V27" i="2"/>
  <c r="V32" i="2"/>
  <c r="V7" i="2"/>
  <c r="V137" i="2"/>
  <c r="L313" i="2"/>
  <c r="K313" i="2"/>
  <c r="R140" i="2" l="1"/>
  <c r="S140" i="2" s="1"/>
  <c r="U140" i="2" s="1"/>
  <c r="R115" i="2"/>
  <c r="S115" i="2" s="1"/>
  <c r="U115" i="2" s="1"/>
  <c r="V115" i="2" s="1"/>
  <c r="R183" i="2"/>
  <c r="S183" i="2" s="1"/>
  <c r="U183" i="2" s="1"/>
  <c r="V183" i="2" s="1"/>
  <c r="R276" i="2"/>
  <c r="S276" i="2" s="1"/>
  <c r="U276" i="2" s="1"/>
  <c r="R95" i="2"/>
  <c r="S95" i="2" s="1"/>
  <c r="U95" i="2" s="1"/>
  <c r="R145" i="2"/>
  <c r="S145" i="2" s="1"/>
  <c r="U145" i="2" s="1"/>
  <c r="V145" i="2" s="1"/>
  <c r="R270" i="2"/>
  <c r="S270" i="2" s="1"/>
  <c r="U270" i="2" s="1"/>
  <c r="V270" i="2" s="1"/>
  <c r="R226" i="2"/>
  <c r="S226" i="2" s="1"/>
  <c r="U226" i="2" s="1"/>
  <c r="V226" i="2" s="1"/>
  <c r="R88" i="2"/>
  <c r="S88" i="2" s="1"/>
  <c r="U88" i="2" s="1"/>
  <c r="V88" i="2" s="1"/>
  <c r="R165" i="2"/>
  <c r="S165" i="2" s="1"/>
  <c r="U165" i="2" s="1"/>
  <c r="V165" i="2" s="1"/>
  <c r="R258" i="2"/>
  <c r="S258" i="2" s="1"/>
  <c r="U258" i="2" s="1"/>
  <c r="R288" i="2"/>
  <c r="S288" i="2" s="1"/>
  <c r="U288" i="2" s="1"/>
  <c r="V288" i="2" s="1"/>
  <c r="R298" i="2"/>
  <c r="S298" i="2" s="1"/>
  <c r="U298" i="2" s="1"/>
  <c r="V298" i="2" s="1"/>
  <c r="R164" i="2"/>
  <c r="S164" i="2" s="1"/>
  <c r="U164" i="2" s="1"/>
  <c r="R148" i="2"/>
  <c r="S148" i="2" s="1"/>
  <c r="U148" i="2" s="1"/>
  <c r="R296" i="2"/>
  <c r="S296" i="2" s="1"/>
  <c r="U296" i="2" s="1"/>
  <c r="R86" i="2"/>
  <c r="S86" i="2" s="1"/>
  <c r="U86" i="2" s="1"/>
  <c r="R174" i="2"/>
  <c r="S174" i="2" s="1"/>
  <c r="U174" i="2" s="1"/>
  <c r="V174" i="2" s="1"/>
  <c r="R101" i="2"/>
  <c r="S101" i="2" s="1"/>
  <c r="U101" i="2" s="1"/>
  <c r="V101" i="2" s="1"/>
  <c r="R155" i="2"/>
  <c r="S155" i="2" s="1"/>
  <c r="U155" i="2" s="1"/>
  <c r="V155" i="2" s="1"/>
  <c r="R184" i="2"/>
  <c r="S184" i="2" s="1"/>
  <c r="U184" i="2" s="1"/>
  <c r="V184" i="2" s="1"/>
  <c r="R166" i="2"/>
  <c r="S166" i="2" s="1"/>
  <c r="U166" i="2" s="1"/>
  <c r="V166" i="2" s="1"/>
  <c r="R153" i="2"/>
  <c r="S153" i="2" s="1"/>
  <c r="U153" i="2" s="1"/>
  <c r="R131" i="2"/>
  <c r="S131" i="2" s="1"/>
  <c r="U131" i="2" s="1"/>
  <c r="R108" i="2"/>
  <c r="S108" i="2" s="1"/>
  <c r="U108" i="2" s="1"/>
  <c r="V108" i="2" s="1"/>
  <c r="R196" i="2"/>
  <c r="S196" i="2" s="1"/>
  <c r="U196" i="2" s="1"/>
  <c r="R139" i="2"/>
  <c r="S139" i="2" s="1"/>
  <c r="U139" i="2" s="1"/>
  <c r="U112" i="2"/>
  <c r="V112" i="2" s="1"/>
  <c r="R169" i="2"/>
  <c r="S169" i="2" s="1"/>
  <c r="U169" i="2" s="1"/>
  <c r="R211" i="2"/>
  <c r="S211" i="2" s="1"/>
  <c r="U211" i="2" s="1"/>
  <c r="R134" i="2"/>
  <c r="S134" i="2" s="1"/>
  <c r="R93" i="2"/>
  <c r="S93" i="2" s="1"/>
  <c r="U93" i="2" s="1"/>
  <c r="R79" i="2"/>
  <c r="S79" i="2" s="1"/>
  <c r="U79" i="2" s="1"/>
  <c r="R71" i="2"/>
  <c r="S71" i="2" s="1"/>
  <c r="U71" i="2" s="1"/>
  <c r="R295" i="2"/>
  <c r="S295" i="2" s="1"/>
  <c r="U295" i="2" s="1"/>
  <c r="R261" i="2"/>
  <c r="S261" i="2" s="1"/>
  <c r="U261" i="2" s="1"/>
  <c r="R249" i="2"/>
  <c r="S249" i="2" s="1"/>
  <c r="U249" i="2" s="1"/>
  <c r="V249" i="2" s="1"/>
  <c r="R278" i="2"/>
  <c r="S278" i="2" s="1"/>
  <c r="U278" i="2" s="1"/>
  <c r="R143" i="2"/>
  <c r="S143" i="2" s="1"/>
  <c r="U143" i="2" s="1"/>
  <c r="R229" i="2"/>
  <c r="S229" i="2" s="1"/>
  <c r="U229" i="2" s="1"/>
  <c r="R191" i="2"/>
  <c r="S191" i="2" s="1"/>
  <c r="U191" i="2" s="1"/>
  <c r="R90" i="2"/>
  <c r="S90" i="2" s="1"/>
  <c r="U90" i="2" s="1"/>
  <c r="V90" i="2" s="1"/>
  <c r="R221" i="2"/>
  <c r="S221" i="2" s="1"/>
  <c r="U221" i="2" s="1"/>
  <c r="R135" i="2"/>
  <c r="S135" i="2" s="1"/>
  <c r="R301" i="2"/>
  <c r="S301" i="2" s="1"/>
  <c r="U301" i="2" s="1"/>
  <c r="R291" i="2"/>
  <c r="S291" i="2" s="1"/>
  <c r="U291" i="2" s="1"/>
  <c r="V291" i="2" s="1"/>
  <c r="R266" i="2"/>
  <c r="S266" i="2" s="1"/>
  <c r="U266" i="2" s="1"/>
  <c r="V266" i="2" s="1"/>
  <c r="R104" i="2"/>
  <c r="S104" i="2" s="1"/>
  <c r="R251" i="2"/>
  <c r="S251" i="2" s="1"/>
  <c r="U251" i="2" s="1"/>
  <c r="R110" i="2"/>
  <c r="S110" i="2" s="1"/>
  <c r="U110" i="2" s="1"/>
  <c r="R91" i="2"/>
  <c r="S91" i="2" s="1"/>
  <c r="U91" i="2" s="1"/>
  <c r="R158" i="2"/>
  <c r="S158" i="2" s="1"/>
  <c r="U158" i="2" s="1"/>
  <c r="R259" i="2"/>
  <c r="S259" i="2" s="1"/>
  <c r="U259" i="2" s="1"/>
  <c r="R189" i="2"/>
  <c r="S189" i="2" s="1"/>
  <c r="U189" i="2" s="1"/>
  <c r="V189" i="2" s="1"/>
  <c r="R176" i="2"/>
  <c r="S176" i="2" s="1"/>
  <c r="U176" i="2" s="1"/>
  <c r="V176" i="2" s="1"/>
  <c r="R209" i="2"/>
  <c r="S209" i="2" s="1"/>
  <c r="U209" i="2" s="1"/>
  <c r="V209" i="2" s="1"/>
  <c r="R218" i="2"/>
  <c r="S218" i="2" s="1"/>
  <c r="U218" i="2" s="1"/>
  <c r="R106" i="2"/>
  <c r="S106" i="2" s="1"/>
  <c r="R285" i="2"/>
  <c r="S285" i="2" s="1"/>
  <c r="U285" i="2" s="1"/>
  <c r="R84" i="2"/>
  <c r="S84" i="2" s="1"/>
  <c r="U84" i="2" s="1"/>
  <c r="V84" i="2" s="1"/>
  <c r="R173" i="2"/>
  <c r="S173" i="2" s="1"/>
  <c r="U173" i="2" s="1"/>
  <c r="V173" i="2" s="1"/>
  <c r="R114" i="2"/>
  <c r="S114" i="2" s="1"/>
  <c r="U114" i="2" s="1"/>
  <c r="V114" i="2" s="1"/>
  <c r="R120" i="2"/>
  <c r="S120" i="2" s="1"/>
  <c r="R216" i="2"/>
  <c r="S216" i="2" s="1"/>
  <c r="U216" i="2" s="1"/>
  <c r="R206" i="2"/>
  <c r="S206" i="2" s="1"/>
  <c r="U206" i="2" s="1"/>
  <c r="R231" i="2"/>
  <c r="S231" i="2" s="1"/>
  <c r="U231" i="2" s="1"/>
  <c r="V231" i="2" s="1"/>
  <c r="R219" i="2"/>
  <c r="S219" i="2" s="1"/>
  <c r="U219" i="2" s="1"/>
  <c r="R260" i="2"/>
  <c r="S260" i="2" s="1"/>
  <c r="U260" i="2" s="1"/>
  <c r="R279" i="2"/>
  <c r="S279" i="2" s="1"/>
  <c r="U279" i="2" s="1"/>
  <c r="R239" i="2"/>
  <c r="S239" i="2" s="1"/>
  <c r="U239" i="2" s="1"/>
  <c r="U25" i="2"/>
  <c r="V25" i="2" s="1"/>
  <c r="R220" i="2"/>
  <c r="S220" i="2" s="1"/>
  <c r="U220" i="2" s="1"/>
  <c r="R78" i="2"/>
  <c r="S78" i="2" s="1"/>
  <c r="U78" i="2" s="1"/>
  <c r="R168" i="2"/>
  <c r="S168" i="2" s="1"/>
  <c r="U168" i="2" s="1"/>
  <c r="V168" i="2" s="1"/>
  <c r="R203" i="2"/>
  <c r="S203" i="2" s="1"/>
  <c r="U203" i="2" s="1"/>
  <c r="V203" i="2" s="1"/>
  <c r="R198" i="2"/>
  <c r="S198" i="2" s="1"/>
  <c r="U198" i="2" s="1"/>
  <c r="R204" i="2"/>
  <c r="S204" i="2" s="1"/>
  <c r="U204" i="2" s="1"/>
  <c r="R214" i="2"/>
  <c r="S214" i="2" s="1"/>
  <c r="U214" i="2" s="1"/>
  <c r="R225" i="2"/>
  <c r="S225" i="2" s="1"/>
  <c r="U225" i="2" s="1"/>
  <c r="R199" i="2"/>
  <c r="S199" i="2" s="1"/>
  <c r="U199" i="2" s="1"/>
  <c r="R289" i="2"/>
  <c r="S289" i="2" s="1"/>
  <c r="U289" i="2" s="1"/>
  <c r="R290" i="2"/>
  <c r="S290" i="2" s="1"/>
  <c r="U290" i="2" s="1"/>
  <c r="R303" i="2"/>
  <c r="S303" i="2" s="1"/>
  <c r="U303" i="2" s="1"/>
  <c r="R119" i="2"/>
  <c r="S119" i="2" s="1"/>
  <c r="U119" i="2" s="1"/>
  <c r="R150" i="2"/>
  <c r="S150" i="2" s="1"/>
  <c r="U150" i="2" s="1"/>
  <c r="R215" i="2"/>
  <c r="S215" i="2" s="1"/>
  <c r="U215" i="2" s="1"/>
  <c r="V215" i="2" s="1"/>
  <c r="R186" i="2"/>
  <c r="S186" i="2" s="1"/>
  <c r="U186" i="2" s="1"/>
  <c r="R159" i="2"/>
  <c r="S159" i="2" s="1"/>
  <c r="U159" i="2" s="1"/>
  <c r="R89" i="2"/>
  <c r="S89" i="2" s="1"/>
  <c r="U89" i="2" s="1"/>
  <c r="R274" i="2"/>
  <c r="S274" i="2" s="1"/>
  <c r="U274" i="2" s="1"/>
  <c r="R68" i="2"/>
  <c r="S68" i="2" s="1"/>
  <c r="U68" i="2" s="1"/>
  <c r="V68" i="2" s="1"/>
  <c r="R268" i="2"/>
  <c r="S268" i="2" s="1"/>
  <c r="U268" i="2" s="1"/>
  <c r="R294" i="2"/>
  <c r="S294" i="2" s="1"/>
  <c r="U294" i="2" s="1"/>
  <c r="R138" i="2"/>
  <c r="S138" i="2" s="1"/>
  <c r="U138" i="2" s="1"/>
  <c r="R179" i="2"/>
  <c r="S179" i="2" s="1"/>
  <c r="U179" i="2" s="1"/>
  <c r="R178" i="2"/>
  <c r="S178" i="2" s="1"/>
  <c r="U178" i="2" s="1"/>
  <c r="V178" i="2" s="1"/>
  <c r="R118" i="2"/>
  <c r="S118" i="2" s="1"/>
  <c r="U118" i="2" s="1"/>
  <c r="R234" i="2"/>
  <c r="S234" i="2" s="1"/>
  <c r="R156" i="2"/>
  <c r="S156" i="2" s="1"/>
  <c r="U156" i="2" s="1"/>
  <c r="R94" i="2"/>
  <c r="S94" i="2" s="1"/>
  <c r="U94" i="2" s="1"/>
  <c r="R113" i="2"/>
  <c r="S113" i="2" s="1"/>
  <c r="U113" i="2" s="1"/>
  <c r="R144" i="2"/>
  <c r="S144" i="2" s="1"/>
  <c r="U144" i="2" s="1"/>
  <c r="R223" i="2"/>
  <c r="S223" i="2" s="1"/>
  <c r="U223" i="2" s="1"/>
  <c r="R286" i="2"/>
  <c r="S286" i="2" s="1"/>
  <c r="U286" i="2" s="1"/>
  <c r="R123" i="2"/>
  <c r="S123" i="2" s="1"/>
  <c r="U123" i="2" s="1"/>
  <c r="R116" i="2"/>
  <c r="S116" i="2" s="1"/>
  <c r="U116" i="2" s="1"/>
  <c r="R233" i="2"/>
  <c r="S233" i="2" s="1"/>
  <c r="R269" i="2"/>
  <c r="S269" i="2" s="1"/>
  <c r="U269" i="2" s="1"/>
  <c r="R96" i="2"/>
  <c r="S96" i="2" s="1"/>
  <c r="U96" i="2" s="1"/>
  <c r="R280" i="2"/>
  <c r="S280" i="2" s="1"/>
  <c r="U280" i="2" s="1"/>
  <c r="R240" i="2"/>
  <c r="S240" i="2" s="1"/>
  <c r="U240" i="2" s="1"/>
  <c r="R181" i="2"/>
  <c r="S181" i="2" s="1"/>
  <c r="U181" i="2" s="1"/>
  <c r="R133" i="2"/>
  <c r="S133" i="2" s="1"/>
  <c r="R228" i="2"/>
  <c r="S228" i="2" s="1"/>
  <c r="U228" i="2" s="1"/>
  <c r="R188" i="2"/>
  <c r="S188" i="2" s="1"/>
  <c r="U188" i="2" s="1"/>
  <c r="R111" i="2"/>
  <c r="S111" i="2" s="1"/>
  <c r="U111" i="2" s="1"/>
  <c r="V111" i="2" s="1"/>
  <c r="R146" i="2"/>
  <c r="S146" i="2" s="1"/>
  <c r="U146" i="2" s="1"/>
  <c r="R185" i="2"/>
  <c r="S185" i="2" s="1"/>
  <c r="U185" i="2" s="1"/>
  <c r="R273" i="2"/>
  <c r="S273" i="2" s="1"/>
  <c r="U273" i="2" s="1"/>
  <c r="R205" i="2"/>
  <c r="S205" i="2" s="1"/>
  <c r="U205" i="2" s="1"/>
  <c r="R180" i="2"/>
  <c r="S180" i="2" s="1"/>
  <c r="U180" i="2" s="1"/>
  <c r="R99" i="2"/>
  <c r="S99" i="2" s="1"/>
  <c r="U99" i="2" s="1"/>
  <c r="R263" i="2"/>
  <c r="S263" i="2" s="1"/>
  <c r="U263" i="2" s="1"/>
  <c r="R213" i="2"/>
  <c r="S213" i="2" s="1"/>
  <c r="U213" i="2" s="1"/>
  <c r="R305" i="2"/>
  <c r="S305" i="2" s="1"/>
  <c r="U305" i="2" s="1"/>
  <c r="V305" i="2" s="1"/>
  <c r="R80" i="2"/>
  <c r="S80" i="2" s="1"/>
  <c r="U80" i="2" s="1"/>
  <c r="R163" i="2"/>
  <c r="S163" i="2" s="1"/>
  <c r="U163" i="2" s="1"/>
  <c r="R109" i="2"/>
  <c r="S109" i="2" s="1"/>
  <c r="U109" i="2" s="1"/>
  <c r="V109" i="2" s="1"/>
  <c r="R248" i="2"/>
  <c r="S248" i="2" s="1"/>
  <c r="U248" i="2" s="1"/>
  <c r="V248" i="2" s="1"/>
  <c r="R293" i="2"/>
  <c r="S293" i="2" s="1"/>
  <c r="U293" i="2" s="1"/>
  <c r="V293" i="2" s="1"/>
  <c r="R141" i="2"/>
  <c r="S141" i="2" s="1"/>
  <c r="U141" i="2" s="1"/>
  <c r="V141" i="2" s="1"/>
  <c r="R103" i="2"/>
  <c r="S103" i="2" s="1"/>
  <c r="U103" i="2" s="1"/>
  <c r="R85" i="2"/>
  <c r="S85" i="2" s="1"/>
  <c r="U85" i="2" s="1"/>
  <c r="R151" i="2"/>
  <c r="S151" i="2" s="1"/>
  <c r="U151" i="2" s="1"/>
  <c r="R124" i="2"/>
  <c r="S124" i="2" s="1"/>
  <c r="U124" i="2" s="1"/>
  <c r="R154" i="2"/>
  <c r="S154" i="2" s="1"/>
  <c r="U154" i="2" s="1"/>
  <c r="R121" i="2"/>
  <c r="S121" i="2" s="1"/>
  <c r="U121" i="2" s="1"/>
  <c r="R160" i="2"/>
  <c r="S160" i="2" s="1"/>
  <c r="U160" i="2" s="1"/>
  <c r="V160" i="2" s="1"/>
  <c r="R171" i="2"/>
  <c r="S171" i="2" s="1"/>
  <c r="U171" i="2" s="1"/>
  <c r="R283" i="2"/>
  <c r="S283" i="2" s="1"/>
  <c r="U283" i="2" s="1"/>
  <c r="R281" i="2"/>
  <c r="S281" i="2" s="1"/>
  <c r="U281" i="2" s="1"/>
  <c r="R193" i="2"/>
  <c r="S193" i="2" s="1"/>
  <c r="U193" i="2" s="1"/>
  <c r="V193" i="2" s="1"/>
  <c r="R175" i="2"/>
  <c r="S175" i="2" s="1"/>
  <c r="U175" i="2" s="1"/>
  <c r="R284" i="2"/>
  <c r="S284" i="2" s="1"/>
  <c r="U284" i="2" s="1"/>
  <c r="R149" i="2"/>
  <c r="S149" i="2" s="1"/>
  <c r="U149" i="2" s="1"/>
  <c r="V149" i="2" s="1"/>
  <c r="R98" i="2"/>
  <c r="S98" i="2" s="1"/>
  <c r="U98" i="2" s="1"/>
  <c r="R299" i="2"/>
  <c r="S299" i="2" s="1"/>
  <c r="U299" i="2" s="1"/>
  <c r="R200" i="2"/>
  <c r="S200" i="2" s="1"/>
  <c r="U200" i="2" s="1"/>
  <c r="V200" i="2" s="1"/>
  <c r="R190" i="2"/>
  <c r="S190" i="2" s="1"/>
  <c r="U190" i="2" s="1"/>
  <c r="V190" i="2" s="1"/>
  <c r="R83" i="2"/>
  <c r="S83" i="2" s="1"/>
  <c r="U83" i="2" s="1"/>
  <c r="R275" i="2"/>
  <c r="S275" i="2" s="1"/>
  <c r="U275" i="2" s="1"/>
  <c r="R81" i="2"/>
  <c r="S81" i="2" s="1"/>
  <c r="U81" i="2" s="1"/>
  <c r="R208" i="2"/>
  <c r="S208" i="2" s="1"/>
  <c r="U208" i="2" s="1"/>
  <c r="R264" i="2"/>
  <c r="S264" i="2" s="1"/>
  <c r="U264" i="2" s="1"/>
  <c r="V264" i="2" s="1"/>
  <c r="R265" i="2"/>
  <c r="S265" i="2" s="1"/>
  <c r="U265" i="2" s="1"/>
  <c r="V265" i="2" s="1"/>
  <c r="R128" i="2"/>
  <c r="S128" i="2" s="1"/>
  <c r="U128" i="2" s="1"/>
  <c r="V128" i="2" s="1"/>
  <c r="R194" i="2"/>
  <c r="S194" i="2" s="1"/>
  <c r="U194" i="2" s="1"/>
  <c r="R241" i="2"/>
  <c r="S241" i="2" s="1"/>
  <c r="U241" i="2" s="1"/>
  <c r="R161" i="2"/>
  <c r="S161" i="2" s="1"/>
  <c r="U161" i="2" s="1"/>
  <c r="V161" i="2" s="1"/>
  <c r="R304" i="2"/>
  <c r="S304" i="2" s="1"/>
  <c r="U304" i="2" s="1"/>
  <c r="R250" i="2"/>
  <c r="S250" i="2" s="1"/>
  <c r="U250" i="2" s="1"/>
  <c r="V53" i="2"/>
  <c r="V6" i="2"/>
  <c r="V306" i="2"/>
  <c r="V59" i="2"/>
  <c r="V243" i="2"/>
  <c r="V224" i="2"/>
  <c r="V44" i="2"/>
  <c r="V309" i="2"/>
  <c r="V33" i="2"/>
  <c r="V9" i="2"/>
  <c r="V311" i="2"/>
  <c r="V56" i="2"/>
  <c r="V254" i="2"/>
  <c r="V24" i="2"/>
  <c r="V50" i="2"/>
  <c r="V13" i="2"/>
  <c r="V54" i="2"/>
  <c r="V36" i="2"/>
  <c r="V29" i="2"/>
  <c r="V238" i="2"/>
  <c r="V19" i="2"/>
  <c r="U104" i="2" l="1"/>
  <c r="V104" i="2" s="1"/>
  <c r="U133" i="2"/>
  <c r="V133" i="2" s="1"/>
  <c r="U233" i="2"/>
  <c r="V233" i="2" s="1"/>
  <c r="U106" i="2"/>
  <c r="V106" i="2" s="1"/>
  <c r="U134" i="2"/>
  <c r="V134" i="2" s="1"/>
  <c r="U120" i="2"/>
  <c r="V120" i="2" s="1"/>
  <c r="U234" i="2"/>
  <c r="V234" i="2" s="1"/>
  <c r="U135" i="2"/>
  <c r="V135" i="2" s="1"/>
  <c r="V274" i="2"/>
  <c r="V113" i="2"/>
  <c r="V163" i="2"/>
  <c r="V201" i="2"/>
  <c r="V251" i="2"/>
  <c r="V129" i="2"/>
  <c r="V30" i="2"/>
  <c r="V79" i="2"/>
  <c r="V154" i="2"/>
  <c r="V169" i="2"/>
  <c r="V290" i="2"/>
  <c r="V5" i="2"/>
  <c r="V188" i="2"/>
  <c r="V284" i="2"/>
  <c r="V194" i="2"/>
  <c r="V191" i="2"/>
  <c r="V299" i="2"/>
  <c r="V34" i="2"/>
  <c r="V220" i="2"/>
  <c r="V144" i="2"/>
  <c r="V303" i="2"/>
  <c r="V268" i="2"/>
  <c r="V216" i="2"/>
  <c r="V206" i="2"/>
  <c r="V294" i="2"/>
  <c r="V221" i="2"/>
  <c r="V131" i="2"/>
  <c r="V304" i="2"/>
  <c r="V78" i="2"/>
  <c r="V259" i="2"/>
  <c r="V86" i="2"/>
  <c r="V95" i="2"/>
  <c r="V240" i="2"/>
  <c r="V156" i="2"/>
  <c r="V181" i="2"/>
  <c r="V126" i="2"/>
  <c r="V276" i="2"/>
  <c r="V263" i="2"/>
  <c r="V130" i="2"/>
  <c r="V285" i="2"/>
  <c r="V80" i="2"/>
  <c r="V64" i="2"/>
  <c r="V43" i="2"/>
  <c r="V308" i="2"/>
  <c r="V180" i="2"/>
  <c r="V239" i="2"/>
  <c r="V91" i="2"/>
  <c r="V256" i="2"/>
  <c r="V125" i="2"/>
  <c r="V164" i="2"/>
  <c r="V123" i="2"/>
  <c r="V175" i="2"/>
  <c r="V138" i="2"/>
  <c r="V140" i="2"/>
  <c r="V55" i="2"/>
  <c r="V153" i="2"/>
  <c r="V210" i="2"/>
  <c r="V273" i="2"/>
  <c r="V93" i="2"/>
  <c r="V46" i="2"/>
  <c r="V250" i="2"/>
  <c r="V208" i="2"/>
  <c r="V158" i="2"/>
  <c r="V225" i="2"/>
  <c r="V21" i="2"/>
  <c r="V41" i="2"/>
  <c r="V14" i="2"/>
  <c r="V121" i="2"/>
  <c r="V71" i="2"/>
  <c r="V110" i="2"/>
  <c r="V89" i="2"/>
  <c r="V61" i="2"/>
  <c r="V261" i="2"/>
  <c r="V146" i="2"/>
  <c r="V279" i="2"/>
  <c r="V58" i="2"/>
  <c r="V260" i="2"/>
  <c r="V296" i="2"/>
  <c r="V301" i="2"/>
  <c r="V269" i="2"/>
  <c r="V204" i="2"/>
  <c r="V18" i="2"/>
  <c r="V119" i="2"/>
  <c r="V100" i="2"/>
  <c r="V218" i="2"/>
  <c r="V228" i="2"/>
  <c r="V49" i="2"/>
  <c r="V28" i="2"/>
  <c r="V148" i="2"/>
  <c r="V196" i="2"/>
  <c r="V244" i="2"/>
  <c r="V139" i="2"/>
  <c r="V151" i="2"/>
  <c r="V15" i="2"/>
  <c r="V213" i="2"/>
  <c r="V51" i="2"/>
  <c r="V10" i="2"/>
  <c r="V223" i="2"/>
  <c r="V98" i="2"/>
  <c r="V81" i="2"/>
  <c r="V150" i="2"/>
  <c r="V283" i="2"/>
  <c r="V278" i="2"/>
  <c r="V31" i="2"/>
  <c r="V275" i="2"/>
  <c r="V85" i="2"/>
  <c r="V219" i="2"/>
  <c r="V214" i="2"/>
  <c r="V124" i="2"/>
  <c r="V16" i="2"/>
  <c r="V289" i="2"/>
  <c r="V83" i="2"/>
  <c r="V159" i="2"/>
  <c r="V69" i="2"/>
  <c r="V179" i="2"/>
  <c r="V198" i="2"/>
  <c r="V186" i="2"/>
  <c r="V116" i="2"/>
  <c r="V286" i="2"/>
  <c r="V38" i="2"/>
  <c r="V310" i="2"/>
  <c r="V271" i="2"/>
  <c r="V230" i="2"/>
  <c r="V26" i="2"/>
  <c r="V281" i="2"/>
  <c r="V39" i="2"/>
  <c r="V11" i="2"/>
  <c r="V171" i="2"/>
  <c r="V96" i="2"/>
  <c r="V103" i="2"/>
  <c r="V20" i="2"/>
  <c r="V48" i="2"/>
  <c r="V246" i="2"/>
  <c r="V45" i="2"/>
  <c r="V229" i="2"/>
  <c r="V199" i="2"/>
  <c r="V295" i="2"/>
  <c r="V241" i="2"/>
  <c r="V143" i="2"/>
  <c r="V170" i="2"/>
  <c r="V185" i="2"/>
  <c r="V280" i="2"/>
  <c r="V118" i="2"/>
  <c r="V211" i="2"/>
  <c r="V94" i="2"/>
  <c r="V205" i="2"/>
  <c r="V258" i="2"/>
  <c r="V99" i="2"/>
  <c r="V136" i="2"/>
  <c r="V40" i="2"/>
  <c r="V8" i="2"/>
  <c r="V4" i="2"/>
  <c r="V63" i="2"/>
  <c r="V66" i="2"/>
  <c r="Q3" i="2"/>
  <c r="V65" i="2"/>
  <c r="R3" i="2" l="1"/>
  <c r="S3" i="2" s="1"/>
  <c r="U3" i="2" s="1"/>
  <c r="Q313" i="2"/>
  <c r="R313" i="2" s="1"/>
  <c r="V3" i="2" l="1"/>
  <c r="V313" i="2" s="1"/>
  <c r="U3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Mishell Guamán</author>
  </authors>
  <commentList>
    <comment ref="C15" authorId="0" shapeId="0" xr:uid="{167759B9-119B-4596-B7E5-B0818A75AC48}">
      <text>
        <r>
          <rPr>
            <b/>
            <sz val="9"/>
            <color indexed="81"/>
            <rFont val="Tahoma"/>
            <family val="2"/>
          </rPr>
          <t>Mishell Guamán:</t>
        </r>
        <r>
          <rPr>
            <sz val="9"/>
            <color indexed="81"/>
            <rFont val="Tahoma"/>
            <family val="2"/>
          </rPr>
          <t xml:space="preserve">
Preguntar si se autoriza ,compromiso con comercial</t>
        </r>
      </text>
    </comment>
  </commentList>
</comments>
</file>

<file path=xl/sharedStrings.xml><?xml version="1.0" encoding="utf-8"?>
<sst xmlns="http://schemas.openxmlformats.org/spreadsheetml/2006/main" count="2156" uniqueCount="204">
  <si>
    <t>CEDI</t>
  </si>
  <si>
    <t>CLIENTE</t>
  </si>
  <si>
    <t>VOLUMEN</t>
  </si>
  <si>
    <t>VISIBILIDAD</t>
  </si>
  <si>
    <t>TOTAL</t>
  </si>
  <si>
    <t>CARLOS PROAÑO</t>
  </si>
  <si>
    <t>ANDRADE ANDRADE GEMA LUCIA</t>
  </si>
  <si>
    <t>ARBOLEDA VACA LETTY VIRGINIA</t>
  </si>
  <si>
    <t>AVEIGA FALCONES DANY MARON</t>
  </si>
  <si>
    <t>BRAVO CEDEÑO NELSON RENE</t>
  </si>
  <si>
    <t>CEDEÑO MEDINA WASHINGTON MONSERRATE</t>
  </si>
  <si>
    <t>COMERCIAL CASANOVA COMCASANOVA S.A.</t>
  </si>
  <si>
    <t>COMERCIAL ROMERO REYNA COMRO</t>
  </si>
  <si>
    <t>COMERCIALIZADORA BASURTO &amp; SACON SUPERUNO S.A.</t>
  </si>
  <si>
    <t>GLORIA DEL CARMEN FALLU VERA</t>
  </si>
  <si>
    <t>MACIAS CEDEÑO CESAR ENRIQUE</t>
  </si>
  <si>
    <t>MARIA NOHELIA MUÑOZ GILER</t>
  </si>
  <si>
    <t>PALMA CEDEÑO WALTER ALEJANDRO</t>
  </si>
  <si>
    <t>PIGUAVE BELLO CATTY</t>
  </si>
  <si>
    <t>URETA MENDOZA ERMEL RUBEN</t>
  </si>
  <si>
    <t>URETA MENDOZA YIMMY ANTONIO</t>
  </si>
  <si>
    <t>WANG CHONG LONG</t>
  </si>
  <si>
    <t>ZAMBRANO MACIAS FRANCISCO GREGORIO</t>
  </si>
  <si>
    <t>ZAMBRANO MOLINA JORGE EDUARDO</t>
  </si>
  <si>
    <t>ZAMBRANO VALENCIA MARGARITA</t>
  </si>
  <si>
    <t>ZAMBRANO ZAMBRANO CLEYTON ELIECER</t>
  </si>
  <si>
    <t>GEOVANNY CANCHINGRE</t>
  </si>
  <si>
    <t>BUSTAMANTE RAMIRO OSWALDO</t>
  </si>
  <si>
    <t>DISTRIBUIDORA SUPERALIANZA S.A.S</t>
  </si>
  <si>
    <t>GUADALUPE CASTILLO ERNESTO VICENTE</t>
  </si>
  <si>
    <t>MASTIAN CHILENO LUIS GEOVANNY</t>
  </si>
  <si>
    <t>ROCHA ROCHA CESAR JOAQUIN</t>
  </si>
  <si>
    <t>YUCAILLA PADILLA RENE WILFRIDO</t>
  </si>
  <si>
    <t>MARCELO ESPINOZA</t>
  </si>
  <si>
    <t>BRAVO MORETA DORIS VANESSA   (SUPER DESPENSA POLITA)</t>
  </si>
  <si>
    <t>CAIVEL S.A.</t>
  </si>
  <si>
    <t>CEDEÑO INTRIAGO FABIAN VICENTE/CEDEPLUS SCC</t>
  </si>
  <si>
    <t>COMERCIAL LA FERIA HLS CIA.LTDA.</t>
  </si>
  <si>
    <t>DISTRIBUIDORA SUPER TIENDA QUEVEDO LUMACAI SA</t>
  </si>
  <si>
    <t>GALLARDO BUSTILLOS GENESIS ESTEFANIA</t>
  </si>
  <si>
    <t>HERRERA CABRERA JENNY JACQUELINE</t>
  </si>
  <si>
    <t>IMPORTADORA CARANQUI CIA.LTDA.</t>
  </si>
  <si>
    <t>LITARDO MURILLO JANELA ALEXANDRA</t>
  </si>
  <si>
    <t>LOMBEIDA GONZALEZ JENNY SILVANA</t>
  </si>
  <si>
    <t>LOMBEIDA GONZALEZ WILSON BAYARDO(COMISARIATO LA GRAN OFERTA)</t>
  </si>
  <si>
    <t>QUICHIMBO DIAZ CENELIA DEL CISNE</t>
  </si>
  <si>
    <t>SAMANIEGO TANDAZO BLADIMIR FELIX (SUPER SAV)</t>
  </si>
  <si>
    <t>SANTANA VERA ALFREDO JOSELITO</t>
  </si>
  <si>
    <t>SOCIEDAD CIVIL MARCSOL Y CIA</t>
  </si>
  <si>
    <t>XAVIER ALVARADO</t>
  </si>
  <si>
    <t>ALMANE CIA. LTDA.</t>
  </si>
  <si>
    <t>ALVARADO ORELLANA YADIRA EVELYN</t>
  </si>
  <si>
    <t>CARRILLO GALARZA MARCO ANTONIO</t>
  </si>
  <si>
    <t>CAYA-AUTOSERVICIOS S.A.S</t>
  </si>
  <si>
    <t>CENTRO DE COMERCIO GUALLI CIA. LTDA.</t>
  </si>
  <si>
    <t>CONSTRUWITHE S.A.</t>
  </si>
  <si>
    <t>DISPROYSER S.A.</t>
  </si>
  <si>
    <t>DISTRIBUIDORA DE PRODUCTOS DE CONSUMO MASIVO CODIPROMASA C.A</t>
  </si>
  <si>
    <t>JMORA-WMORAN S.A.S S.A.</t>
  </si>
  <si>
    <t>JOAMELCORP SA</t>
  </si>
  <si>
    <t>MOVACAZA S.A.S</t>
  </si>
  <si>
    <t>MULLO DUCHI ANA LUCIA</t>
  </si>
  <si>
    <t>ORTEGA GONZALEZ HERMES ADALBER</t>
  </si>
  <si>
    <t>QUELAL SALDAÑA MANUEL EDUARDO</t>
  </si>
  <si>
    <t>QUELAL SALDAÑA MERY AZUCENA</t>
  </si>
  <si>
    <t>ROXANA VILLACIS S.A. ROXVILL</t>
  </si>
  <si>
    <t>SARANGO PAREDES YERMAN ANIVAL</t>
  </si>
  <si>
    <t>TOALOMBO LLACA ROSA ISABEL</t>
  </si>
  <si>
    <t>TOAPANTA TUAZA JOSE ANTONIO</t>
  </si>
  <si>
    <t>YAGUACHI QUISHPI MARIA ELVIRA</t>
  </si>
  <si>
    <t>YANEZ CARDENAS ESTELA ELIZABET</t>
  </si>
  <si>
    <t>Etiquetas de fila</t>
  </si>
  <si>
    <t>Suma de Suma de REBATE REAL VOL</t>
  </si>
  <si>
    <t>Total general</t>
  </si>
  <si>
    <t>Suma de CABECERA5</t>
  </si>
  <si>
    <t>Suma de ISLA5</t>
  </si>
  <si>
    <t>Suma de PERCHA5</t>
  </si>
  <si>
    <t>Q1</t>
  </si>
  <si>
    <t>PROVISION VISIBILIDAD</t>
  </si>
  <si>
    <t>Total CARLOS PROAÑO</t>
  </si>
  <si>
    <t>Total GEOVANNY CANCHINGRE</t>
  </si>
  <si>
    <t>Total MARCELO ESPINOZA</t>
  </si>
  <si>
    <t>Total XAVIER ALVARADO</t>
  </si>
  <si>
    <t>PRESUPUESTO VOLUMEN POR Q</t>
  </si>
  <si>
    <t>Q2</t>
  </si>
  <si>
    <t>Q3</t>
  </si>
  <si>
    <t>Q4</t>
  </si>
  <si>
    <t>GUAYAQUIL</t>
  </si>
  <si>
    <t> $                    10.830,00</t>
  </si>
  <si>
    <t> $     2.707,50</t>
  </si>
  <si>
    <t> $   2.707,50</t>
  </si>
  <si>
    <t>MANABÍ</t>
  </si>
  <si>
    <t> $                    15.390,00</t>
  </si>
  <si>
    <t> $     3.847,50</t>
  </si>
  <si>
    <t> $   3.847,50</t>
  </si>
  <si>
    <t>QUITO</t>
  </si>
  <si>
    <t> $                    16.530,00</t>
  </si>
  <si>
    <t> $     4.132,50</t>
  </si>
  <si>
    <t> $   4.132,50</t>
  </si>
  <si>
    <t>SANTO DOMINGO</t>
  </si>
  <si>
    <t> $                    14.250,00</t>
  </si>
  <si>
    <t> $     3.562,50</t>
  </si>
  <si>
    <t> $   3.562,50</t>
  </si>
  <si>
    <t> $                    57.000,00</t>
  </si>
  <si>
    <t> $  14.250,00</t>
  </si>
  <si>
    <t> $14.250,00</t>
  </si>
  <si>
    <t>Suma de VOLUMEN</t>
  </si>
  <si>
    <t>Suma de VISIBILIDAD</t>
  </si>
  <si>
    <t>PRESUPUESTO PASADO</t>
  </si>
  <si>
    <t>JAVIER MALDONADO</t>
  </si>
  <si>
    <t>AGENCIA</t>
  </si>
  <si>
    <t>Q3 VISIBILIDAD</t>
  </si>
  <si>
    <t>Q4 VISIBILIDAD</t>
  </si>
  <si>
    <t>GILER ZAMBRANO MARIA PAOLA</t>
  </si>
  <si>
    <t>ROBERT - PONCE COMPANY S.A.S</t>
  </si>
  <si>
    <t>COMISARIATO ELSITIO C.L.</t>
  </si>
  <si>
    <t>Total JAVIER MALDONADO</t>
  </si>
  <si>
    <t>BRAVO MORETA DORIS VANESSA (SUPER DESPENSA POLITA)</t>
  </si>
  <si>
    <t>CEDEPLUS S.C.C.</t>
  </si>
  <si>
    <t>ROSERO AGUILAR LUIS BAYARDO</t>
  </si>
  <si>
    <t>YANEZ CARDENAS ESTELA ELIZABETH</t>
  </si>
  <si>
    <t>NO BORRAR - BI</t>
  </si>
  <si>
    <t>CANTIDAD</t>
  </si>
  <si>
    <t>PAGO</t>
  </si>
  <si>
    <t>MARCA</t>
  </si>
  <si>
    <t>VALIDACIÓN</t>
  </si>
  <si>
    <t>KP</t>
  </si>
  <si>
    <t>Nombres</t>
  </si>
  <si>
    <t>PLAN</t>
  </si>
  <si>
    <t>CABECERA</t>
  </si>
  <si>
    <t>ISLA</t>
  </si>
  <si>
    <t>PERCHA</t>
  </si>
  <si>
    <t>PAGO TOTAL</t>
  </si>
  <si>
    <t>OBSERVACION</t>
  </si>
  <si>
    <t>MORAN LOPEZ WILMER ALFREDO</t>
  </si>
  <si>
    <t>AUTOSERVICIO INDEPENDIENTE</t>
  </si>
  <si>
    <t>MULTIMARCA</t>
  </si>
  <si>
    <t>LIQUIDOS</t>
  </si>
  <si>
    <t>CUMPLE</t>
  </si>
  <si>
    <t>NO CUMPLE</t>
  </si>
  <si>
    <t>LAVA - GOL</t>
  </si>
  <si>
    <t>LAVA</t>
  </si>
  <si>
    <t>PERCHA MIX</t>
  </si>
  <si>
    <t>GOL-LAVA</t>
  </si>
  <si>
    <t>GOL</t>
  </si>
  <si>
    <t xml:space="preserve">LAVA </t>
  </si>
  <si>
    <t>LAVA -GOL</t>
  </si>
  <si>
    <t>GOL - LIQUIDOS</t>
  </si>
  <si>
    <t>GOL-LIQUIDOS</t>
  </si>
  <si>
    <t>MACIAS CEDEÑO CESAR ENRIQUE/MACIAS CEDEÑO LUIS FERNANDO</t>
  </si>
  <si>
    <t>LAVA-GOL</t>
  </si>
  <si>
    <t xml:space="preserve">NO CUMPLIO ISLA EN MAYO NO CUMPLIO PERCHA NUMERO DE CARAS </t>
  </si>
  <si>
    <t xml:space="preserve">GILER ZAMBRANO MARIA PAOLA </t>
  </si>
  <si>
    <t>NO CUMPLE NUMERO DE CARAS EN PERCHA</t>
  </si>
  <si>
    <t>PINCAY PALACIOS YOCONDA ANALIA (IMPORTADORA CARANQUI CIA . LTDA)</t>
  </si>
  <si>
    <t xml:space="preserve">GOL </t>
  </si>
  <si>
    <t>NO CUMPLE NUMERO DE CARAS EN PERCHA/NO CUMPLE CON LA ISLA LAVA</t>
  </si>
  <si>
    <t>NO CUMPLE NUMERO DE CARAS</t>
  </si>
  <si>
    <t>CEDEÑO INTRIAGO FABIAN VICENTE/CEDEPLUSS SCC</t>
  </si>
  <si>
    <t xml:space="preserve">NO CUMPLE CON EL NUMERO DE CARAS DE LA PERCHA LAVA </t>
  </si>
  <si>
    <t>NO CUMPLE NUMERO DE CARAS LAVA</t>
  </si>
  <si>
    <t>NO CUMPLE NUMERO DE CARAS/NO TIENE ISLA EN EL MES ABRIL SEMANA 3 DE MAYO -JUNIO</t>
  </si>
  <si>
    <t>NO CUMPLE NUMERO DE CARAS EN LAVA</t>
  </si>
  <si>
    <t>MAYORISTA PURO</t>
  </si>
  <si>
    <t>EXHIBIDOR MULTIMARCA</t>
  </si>
  <si>
    <t>BARRA</t>
  </si>
  <si>
    <t>LAVA - GOL-LIQUIDOS</t>
  </si>
  <si>
    <t>NO CUMPLE NUMERO DE CARAS EN PERCHA GOL</t>
  </si>
  <si>
    <t xml:space="preserve">COMISARIOATO EL SITIO </t>
  </si>
  <si>
    <t>LAVA - GOL - LÍQUIDOS</t>
  </si>
  <si>
    <t>NO CUMPLE CON UNA ISLA GOL MAYO JUNIO</t>
  </si>
  <si>
    <t>DISTRIBUIDORA SUPER ALIANZA</t>
  </si>
  <si>
    <t>NO CUMPLE NUMERO DE CARAS EN GOL Y LAVA</t>
  </si>
  <si>
    <t>Suma de TOTAL Q2</t>
  </si>
  <si>
    <t>Suma de VENTA Q4</t>
  </si>
  <si>
    <t xml:space="preserve"> VENTA Q2 2026</t>
  </si>
  <si>
    <t>CATEGORIAS</t>
  </si>
  <si>
    <t>CONCAT</t>
  </si>
  <si>
    <t>ABRIL</t>
  </si>
  <si>
    <t>MAYO</t>
  </si>
  <si>
    <t>JUNIO</t>
  </si>
  <si>
    <t>TOTAL Q2</t>
  </si>
  <si>
    <t>REBATE A APLICAR %</t>
  </si>
  <si>
    <t>REBATE $</t>
  </si>
  <si>
    <t>REBATE MAXIMO 110%</t>
  </si>
  <si>
    <t>CARTERA</t>
  </si>
  <si>
    <t>VENTA Q2</t>
  </si>
  <si>
    <t>CUMPLIMIENTO</t>
  </si>
  <si>
    <t>GANA POR CATEGORÍA</t>
  </si>
  <si>
    <t>GANA TOTAL</t>
  </si>
  <si>
    <t>PRE REBATE</t>
  </si>
  <si>
    <t>REBATE REAL VOL</t>
  </si>
  <si>
    <t>NOVEDADES</t>
  </si>
  <si>
    <t>CREMA</t>
  </si>
  <si>
    <t>LIQUIDO</t>
  </si>
  <si>
    <t>ZAMBRANO ZAMBRANO CLEYTON ELIECERLIQUIDO</t>
  </si>
  <si>
    <t>POLVO DETERGENTE</t>
  </si>
  <si>
    <t>OTRAS CATEGORIAS</t>
  </si>
  <si>
    <t xml:space="preserve">CAMBIADO EL 4,1% DE REBATE EN POLVO DETERGENTE CON CREMA </t>
  </si>
  <si>
    <t>MH</t>
  </si>
  <si>
    <t>ACUERDO BIMENSUAL APROBADO JE</t>
  </si>
  <si>
    <t>GANA</t>
  </si>
  <si>
    <t>CUOTA DISMINUIDA POR VENTA DE DETERGENTE GRANEL /AUTORIZADO POR JE</t>
  </si>
  <si>
    <t>ACUERDO BIMENSUAL APROBADO POR 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</si>
</sst>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;[Red]&quot;$&quot;\-#,##0"/>
    <numFmt numFmtId="165" formatCode="_ &quot;$&quot;* #,##0.00_ ;_ &quot;$&quot;* \-#,##0.00_ ;_ &quot;$&quot;* &quot;-&quot;??_ ;_ @_ "/>
    <numFmt numFmtId="166" formatCode="_ * #,##0.00_ ;_ * \-#,##0.00_ ;_ * &quot;-&quot;??_ ;_ @_ "/>
    <numFmt numFmtId="167" formatCode="_ * #,##0_ ;_ * \-#,##0_ ;_ * &quot;-&quot;??_ ;_ @_ "/>
    <numFmt numFmtId="168" formatCode="&quot;$&quot;#,##0.00"/>
    <numFmt numFmtId="169" formatCode="_ &quot;$&quot;* #,##0_ ;_ &quot;$&quot;* \-#,##0_ ;_ &quot;$&quot;* &quot;-&quot;??_ ;_ @_ "/>
    <numFmt numFmtId="170" formatCode="0.0%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b/>
      <u/>
      <sz val="7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9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2" xfId="0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0" xfId="2" applyFont="1"/>
    <xf numFmtId="165" fontId="0" fillId="0" borderId="1" xfId="2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2" applyNumberFormat="1" applyFont="1" applyBorder="1"/>
    <xf numFmtId="165" fontId="2" fillId="0" borderId="1" xfId="2" applyFont="1" applyBorder="1"/>
    <xf numFmtId="0" fontId="0" fillId="0" borderId="0" xfId="0" applyAlignment="1">
      <alignment horizontal="left"/>
    </xf>
    <xf numFmtId="17" fontId="2" fillId="2" borderId="1" xfId="0" applyNumberFormat="1" applyFont="1" applyFill="1" applyBorder="1" applyAlignment="1">
      <alignment horizontal="center" vertical="center" wrapText="1"/>
    </xf>
    <xf numFmtId="165" fontId="2" fillId="3" borderId="1" xfId="2" applyFont="1" applyFill="1" applyBorder="1" applyAlignment="1">
      <alignment horizontal="center" vertical="center" wrapText="1"/>
    </xf>
    <xf numFmtId="167" fontId="2" fillId="3" borderId="1" xfId="1" applyNumberFormat="1" applyFont="1" applyFill="1" applyBorder="1" applyAlignment="1">
      <alignment horizontal="center" vertical="center" wrapText="1"/>
    </xf>
    <xf numFmtId="9" fontId="8" fillId="4" borderId="1" xfId="3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5" fontId="9" fillId="8" borderId="1" xfId="2" applyFont="1" applyFill="1" applyBorder="1"/>
    <xf numFmtId="10" fontId="0" fillId="8" borderId="1" xfId="3" applyNumberFormat="1" applyFont="1" applyFill="1" applyBorder="1"/>
    <xf numFmtId="168" fontId="0" fillId="0" borderId="1" xfId="0" applyNumberFormat="1" applyBorder="1"/>
    <xf numFmtId="165" fontId="0" fillId="0" borderId="1" xfId="2" applyFont="1" applyFill="1" applyBorder="1"/>
    <xf numFmtId="169" fontId="9" fillId="0" borderId="1" xfId="2" applyNumberFormat="1" applyFont="1" applyFill="1" applyBorder="1"/>
    <xf numFmtId="10" fontId="0" fillId="0" borderId="1" xfId="3" applyNumberFormat="1" applyFont="1" applyFill="1" applyBorder="1"/>
    <xf numFmtId="165" fontId="1" fillId="8" borderId="1" xfId="2" applyFont="1" applyFill="1" applyBorder="1"/>
    <xf numFmtId="0" fontId="0" fillId="10" borderId="0" xfId="0" applyFill="1"/>
    <xf numFmtId="0" fontId="10" fillId="0" borderId="1" xfId="0" applyFont="1" applyBorder="1" applyAlignment="1">
      <alignment horizontal="left"/>
    </xf>
    <xf numFmtId="10" fontId="1" fillId="8" borderId="1" xfId="3" applyNumberFormat="1" applyFont="1" applyFill="1" applyBorder="1"/>
    <xf numFmtId="0" fontId="12" fillId="0" borderId="2" xfId="0" applyFont="1" applyBorder="1"/>
    <xf numFmtId="164" fontId="9" fillId="8" borderId="1" xfId="2" applyNumberFormat="1" applyFont="1" applyFill="1" applyBorder="1"/>
    <xf numFmtId="165" fontId="13" fillId="8" borderId="1" xfId="2" applyFont="1" applyFill="1" applyBorder="1"/>
    <xf numFmtId="10" fontId="13" fillId="8" borderId="1" xfId="3" applyNumberFormat="1" applyFont="1" applyFill="1" applyBorder="1"/>
    <xf numFmtId="0" fontId="2" fillId="0" borderId="1" xfId="0" applyFont="1" applyBorder="1"/>
    <xf numFmtId="165" fontId="9" fillId="0" borderId="1" xfId="2" applyFont="1" applyFill="1" applyBorder="1"/>
    <xf numFmtId="165" fontId="2" fillId="0" borderId="1" xfId="2" applyFont="1" applyFill="1" applyBorder="1"/>
    <xf numFmtId="165" fontId="9" fillId="0" borderId="1" xfId="2" applyFont="1" applyBorder="1"/>
    <xf numFmtId="10" fontId="0" fillId="0" borderId="1" xfId="3" applyNumberFormat="1" applyFont="1" applyBorder="1"/>
    <xf numFmtId="167" fontId="0" fillId="0" borderId="0" xfId="1" applyNumberFormat="1" applyFont="1"/>
    <xf numFmtId="9" fontId="0" fillId="0" borderId="0" xfId="3" applyFont="1"/>
    <xf numFmtId="165" fontId="0" fillId="0" borderId="0" xfId="0" applyNumberFormat="1"/>
    <xf numFmtId="0" fontId="0" fillId="0" borderId="0" xfId="0" applyAlignment="1">
      <alignment horizontal="right"/>
    </xf>
    <xf numFmtId="0" fontId="3" fillId="11" borderId="1" xfId="0" applyFont="1" applyFill="1" applyBorder="1" applyAlignment="1">
      <alignment horizontal="left"/>
    </xf>
    <xf numFmtId="165" fontId="0" fillId="8" borderId="1" xfId="2" applyFont="1" applyFill="1" applyBorder="1"/>
    <xf numFmtId="0" fontId="0" fillId="0" borderId="2" xfId="0" applyBorder="1"/>
    <xf numFmtId="0" fontId="0" fillId="0" borderId="0" xfId="0" pivotButton="1"/>
    <xf numFmtId="0" fontId="5" fillId="11" borderId="1" xfId="0" applyFont="1" applyFill="1" applyBorder="1" applyAlignment="1">
      <alignment horizontal="left"/>
    </xf>
    <xf numFmtId="165" fontId="1" fillId="9" borderId="1" xfId="2" applyFont="1" applyFill="1" applyBorder="1"/>
    <xf numFmtId="0" fontId="10" fillId="11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 wrapText="1"/>
    </xf>
    <xf numFmtId="0" fontId="11" fillId="11" borderId="1" xfId="0" applyFont="1" applyFill="1" applyBorder="1" applyAlignment="1">
      <alignment horizontal="left"/>
    </xf>
    <xf numFmtId="170" fontId="0" fillId="0" borderId="0" xfId="3" applyNumberFormat="1" applyFont="1"/>
    <xf numFmtId="9" fontId="0" fillId="0" borderId="0" xfId="0" applyNumberFormat="1"/>
    <xf numFmtId="0" fontId="15" fillId="12" borderId="1" xfId="0" applyFont="1" applyFill="1" applyBorder="1"/>
    <xf numFmtId="165" fontId="2" fillId="0" borderId="1" xfId="0" applyNumberFormat="1" applyFont="1" applyBorder="1"/>
    <xf numFmtId="0" fontId="16" fillId="12" borderId="1" xfId="0" applyFont="1" applyFill="1" applyBorder="1"/>
    <xf numFmtId="165" fontId="2" fillId="0" borderId="0" xfId="0" applyNumberFormat="1" applyFont="1"/>
    <xf numFmtId="0" fontId="15" fillId="12" borderId="5" xfId="0" applyFont="1" applyFill="1" applyBorder="1"/>
    <xf numFmtId="9" fontId="2" fillId="0" borderId="0" xfId="3" applyFont="1"/>
    <xf numFmtId="170" fontId="9" fillId="0" borderId="1" xfId="3" applyNumberFormat="1" applyFont="1" applyFill="1" applyBorder="1"/>
    <xf numFmtId="10" fontId="0" fillId="13" borderId="1" xfId="3" applyNumberFormat="1" applyFont="1" applyFill="1" applyBorder="1"/>
    <xf numFmtId="10" fontId="13" fillId="13" borderId="1" xfId="3" applyNumberFormat="1" applyFont="1" applyFill="1" applyBorder="1"/>
    <xf numFmtId="165" fontId="1" fillId="0" borderId="1" xfId="2" applyFont="1" applyFill="1" applyBorder="1"/>
    <xf numFmtId="10" fontId="18" fillId="8" borderId="1" xfId="3" applyNumberFormat="1" applyFont="1" applyFill="1" applyBorder="1"/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9" fillId="0" borderId="0" xfId="0" applyFont="1" applyAlignment="1">
      <alignment horizontal="center" vertical="center"/>
    </xf>
    <xf numFmtId="165" fontId="18" fillId="0" borderId="0" xfId="0" applyNumberFormat="1" applyFont="1"/>
    <xf numFmtId="0" fontId="0" fillId="10" borderId="1" xfId="0" applyFill="1" applyBorder="1"/>
    <xf numFmtId="0" fontId="0" fillId="10" borderId="1" xfId="0" applyFill="1" applyBorder="1" applyAlignment="1">
      <alignment horizontal="right" indent="1"/>
    </xf>
    <xf numFmtId="0" fontId="0" fillId="10" borderId="1" xfId="0" applyFill="1" applyBorder="1" applyAlignment="1">
      <alignment horizontal="right"/>
    </xf>
    <xf numFmtId="0" fontId="2" fillId="10" borderId="1" xfId="0" applyFont="1" applyFill="1" applyBorder="1"/>
    <xf numFmtId="2" fontId="0" fillId="10" borderId="1" xfId="0" applyNumberFormat="1" applyFill="1" applyBorder="1"/>
    <xf numFmtId="165" fontId="21" fillId="0" borderId="1" xfId="2" applyFont="1" applyBorder="1"/>
    <xf numFmtId="0" fontId="15" fillId="13" borderId="1" xfId="0" applyFont="1" applyFill="1" applyBorder="1" applyAlignment="1">
      <alignment horizontal="center"/>
    </xf>
    <xf numFmtId="165" fontId="15" fillId="13" borderId="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9" fontId="8" fillId="4" borderId="2" xfId="3" applyFont="1" applyFill="1" applyBorder="1" applyAlignment="1">
      <alignment horizontal="center" vertical="center" wrapText="1"/>
    </xf>
    <xf numFmtId="9" fontId="8" fillId="4" borderId="4" xfId="3" applyFont="1" applyFill="1" applyBorder="1" applyAlignment="1">
      <alignment horizontal="center" vertical="center" wrapText="1"/>
    </xf>
    <xf numFmtId="9" fontId="8" fillId="4" borderId="3" xfId="3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5">
    <cellStyle name="Hyperlink" xfId="4" xr:uid="{00000000-000B-0000-0000-000008000000}"/>
    <cellStyle name="Millares" xfId="1" builtinId="3"/>
    <cellStyle name="Moneda" xfId="2" builtinId="4"/>
    <cellStyle name="Normal" xfId="0" builtinId="0"/>
    <cellStyle name="Porcentaje" xfId="3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 &quot;$&quot;* #,##0.00_ ;_ &quot;$&quot;* \-#,##0.00_ ;_ &quot;$&quot;* &quot;-&quot;??_ ;_ @_ "/>
    </dxf>
    <dxf>
      <numFmt numFmtId="165" formatCode="_ &quot;$&quot;* #,##0.00_ ;_ &quot;$&quot;* \-#,##0.00_ ;_ &quot;$&quot;* &quot;-&quot;??_ ;_ @_ "/>
    </dxf>
    <dxf>
      <numFmt numFmtId="165" formatCode="_ &quot;$&quot;* #,##0.00_ ;_ &quot;$&quot;* \-#,##0.00_ ;_ &quot;$&quot;* &quot;-&quot;??_ ;_ @_ "/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ell Guamán" refreshedDate="46127.673461805556" createdVersion="8" refreshedVersion="8" minRefreshableVersion="3" recordCount="44" xr:uid="{CDC5CD7B-AB27-4DA9-8B8E-892C4E823E16}">
  <cacheSource type="worksheet">
    <worksheetSource ref="B2:U46" sheet="VISIBILIDAD"/>
  </cacheSource>
  <cacheFields count="20">
    <cacheField name="CEDI" numFmtId="0">
      <sharedItems count="5">
        <s v="XAVIER ALVARADO"/>
        <s v="CARLOS PROAÑO"/>
        <s v="GEOVANNY CANCHINGRE"/>
        <s v="MARCELO ESPINOZA"/>
        <s v="TOTAL"/>
      </sharedItems>
    </cacheField>
    <cacheField name="Nombres" numFmtId="0">
      <sharedItems containsBlank="1"/>
    </cacheField>
    <cacheField name="PLAN" numFmtId="0">
      <sharedItems containsBlank="1"/>
    </cacheField>
    <cacheField name="CABECERA" numFmtId="0">
      <sharedItems containsString="0" containsBlank="1" containsNumber="1" containsInteger="1" minValue="0" maxValue="19"/>
    </cacheField>
    <cacheField name="ISLA" numFmtId="0">
      <sharedItems containsString="0" containsBlank="1" containsNumber="1" containsInteger="1" minValue="0" maxValue="49"/>
    </cacheField>
    <cacheField name="PERCHA" numFmtId="0">
      <sharedItems containsString="0" containsBlank="1" containsNumber="1" containsInteger="1" minValue="0" maxValue="39"/>
    </cacheField>
    <cacheField name="CABECERA2" numFmtId="165">
      <sharedItems containsString="0" containsBlank="1" containsNumber="1" containsInteger="1" minValue="0" maxValue="4490"/>
    </cacheField>
    <cacheField name="ISLA2" numFmtId="165">
      <sharedItems containsSemiMixedTypes="0" containsString="0" containsNumber="1" containsInteger="1" minValue="0" maxValue="5295"/>
    </cacheField>
    <cacheField name="PERCHA2" numFmtId="165">
      <sharedItems containsSemiMixedTypes="0" containsString="0" containsNumber="1" containsInteger="1" minValue="0" maxValue="6180"/>
    </cacheField>
    <cacheField name="PAGO TOTAL" numFmtId="165">
      <sharedItems containsSemiMixedTypes="0" containsString="0" containsNumber="1" containsInteger="1" minValue="120" maxValue="15965"/>
    </cacheField>
    <cacheField name="CABECERA3" numFmtId="0">
      <sharedItems containsBlank="1"/>
    </cacheField>
    <cacheField name="ISLA3" numFmtId="0">
      <sharedItems containsBlank="1"/>
    </cacheField>
    <cacheField name="PERCHA3" numFmtId="0">
      <sharedItems containsBlank="1"/>
    </cacheField>
    <cacheField name="CABECERA4" numFmtId="0">
      <sharedItems containsBlank="1"/>
    </cacheField>
    <cacheField name="ISLA4" numFmtId="0">
      <sharedItems containsBlank="1"/>
    </cacheField>
    <cacheField name="PERCHA4" numFmtId="0">
      <sharedItems containsBlank="1"/>
    </cacheField>
    <cacheField name="CABECERA5" numFmtId="165">
      <sharedItems containsSemiMixedTypes="0" containsString="0" containsNumber="1" containsInteger="1" minValue="0" maxValue="4430"/>
    </cacheField>
    <cacheField name="ISLA5" numFmtId="165">
      <sharedItems containsSemiMixedTypes="0" containsString="0" containsNumber="1" containsInteger="1" minValue="0" maxValue="4575"/>
    </cacheField>
    <cacheField name="PERCHA5" numFmtId="165">
      <sharedItems containsSemiMixedTypes="0" containsString="0" containsNumber="1" containsInteger="1" minValue="0" maxValue="3280"/>
    </cacheField>
    <cacheField name="TOTAL" numFmtId="165">
      <sharedItems containsSemiMixedTypes="0" containsString="0" containsNumber="1" containsInteger="1" minValue="0" maxValue="12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ell Guamán" refreshedDate="46205.462516666666" createdVersion="8" refreshedVersion="8" minRefreshableVersion="3" recordCount="65" xr:uid="{3BAB49E3-3E62-4405-A4A5-7904D5AC5E0E}">
  <cacheSource type="worksheet">
    <worksheetSource ref="A3:E72" sheet="RESUMEN DE PAGOS"/>
  </cacheSource>
  <cacheFields count="5">
    <cacheField name="CEDI" numFmtId="0">
      <sharedItems containsBlank="1" count="11">
        <s v="CARLOS PROAÑO"/>
        <s v="JAVIER MALDONADO"/>
        <s v="MARCELO ESPINOZA"/>
        <s v="XAVIER ALVARADO"/>
        <s v="Total general"/>
        <m/>
        <s v="Total CARLOS PROAÑO" u="1"/>
        <s v="GEOVANNY CANCHINGRE" u="1"/>
        <s v="Total GEOVANNY CANCHINGRE" u="1"/>
        <s v="Total MARCELO ESPINOZA" u="1"/>
        <s v="Total XAVIER ALVARADO" u="1"/>
      </sharedItems>
    </cacheField>
    <cacheField name="CLIENTE" numFmtId="0">
      <sharedItems containsBlank="1"/>
    </cacheField>
    <cacheField name="Suma de REBATE REAL VOL" numFmtId="0">
      <sharedItems containsString="0" containsBlank="1" containsNumber="1" minValue="0" maxValue="5707.3727590000008"/>
    </cacheField>
    <cacheField name="Campo4" caption="Campo4" numFmtId="0">
      <sharedItems containsNonDate="0" containsString="0" containsBlank="1"/>
    </cacheField>
    <cacheField name="Campo5" caption="Campo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ell Guamán" refreshedDate="46206.531711226853" createdVersion="8" refreshedVersion="8" minRefreshableVersion="3" recordCount="311" xr:uid="{3BD7595E-1F74-404F-9CDD-E7D9359CEBCA}">
  <cacheSource type="worksheet">
    <worksheetSource ref="A2:R313" sheet="CUOTA CLIENTE - CATEGORÍA"/>
  </cacheSource>
  <cacheFields count="18">
    <cacheField name="CEDI" numFmtId="0">
      <sharedItems count="5">
        <s v="CARLOS PROAÑO"/>
        <s v="JAVIER MALDONADO"/>
        <s v="XAVIER ALVARADO"/>
        <s v="MARCELO ESPINOZA"/>
        <s v="TOTAL"/>
      </sharedItems>
    </cacheField>
    <cacheField name="CLIENTE" numFmtId="0">
      <sharedItems containsBlank="1" count="65">
        <s v="ZAMBRANO ZAMBRANO CLEYTON ELIECER"/>
        <s v="ZAMBRANO VALENCIA MARGARITA"/>
        <s v="ZAMBRANO MOLINA JORGE EDUARDO"/>
        <s v="ZAMBRANO MACIAS FRANCISCO GREGORIO"/>
        <s v="YUCAILLA PADILLA RENE WILFRIDO"/>
        <s v="YANEZ CARDENAS ESTELA ELIZABETH"/>
        <s v="YAGUACHI QUISHPI MARIA ELVIRA"/>
        <s v="WANG CHONG LONG"/>
        <s v="URETA MENDOZA YIMMY ANTONIO"/>
        <s v="ROBERT - PONCE COMPANY S.A.S"/>
        <s v="URETA MENDOZA ERMEL RUBEN"/>
        <s v="TOALOMBO LLACA ROSA ISABEL"/>
        <s v="SOCIEDAD CIVIL MARCSOL Y CIA"/>
        <s v="SARANGO PAREDES YERMAN ANIVAL"/>
        <s v="GALLARDO BUSTILLOS GENESIS ESTEFANIA"/>
        <s v="SANTANA VERA ALFREDO JOSELITO"/>
        <s v="SAMANIEGO TANDAZO BLADIMIR FELIX (SUPER SAV)"/>
        <s v="ROXANA VILLACIS S.A. ROXVILL"/>
        <s v="QUICHIMBO DIAZ CENELIA DEL CISNE"/>
        <s v="QUELAL SALDAÑA MERY AZUCENA"/>
        <s v="QUELAL SALDAÑA MANUEL EDUARDO"/>
        <s v="PIGUAVE BELLO CATTY"/>
        <s v="PALMA CEDEÑO WALTER ALEJANDRO"/>
        <s v="ORTEGA GONZALEZ HERMES ADALBER"/>
        <s v="MULLO DUCHI ANA LUCIA"/>
        <s v="JMORA-WMORAN S.A.S S.A."/>
        <s v="MASTIAN CHILENO LUIS GEOVANNY"/>
        <s v="LOMBEIDA GONZALEZ WILSON BAYARDO(COMISARIATO LA GRAN OFERTA)"/>
        <s v="LITARDO MURILLO JANELA ALEXANDRA"/>
        <s v="JOAMELCORP SA"/>
        <s v="IMPORTADORA CARANQUI CIA.LTDA."/>
        <s v="HERRERA CABRERA JENNY JACQUELINE"/>
        <s v="GUADALUPE CASTILLO ERNESTO VICENTE"/>
        <s v="DISTRIBUIDORA SUPERALIANZA S.A.S"/>
        <s v="DISTRIBUIDORA SUPER TIENDA QUEVEDO LUMACAI SA"/>
        <s v="DISPROYSER S.A."/>
        <s v="ALMANE CIA. LTDA."/>
        <s v="MOVACAZA S.A.S"/>
        <s v="CONSTRUWITHE S.A."/>
        <s v="COMERCIALIZADORA BASURTO &amp; SACON SUPERUNO S.A."/>
        <s v="COMERCIAL ROMERO REYNA COMRO"/>
        <s v="COMERCIAL LA FERIA HLS CIA.LTDA."/>
        <s v="COMERCIAL CASANOVA COMCASANOVA S.A."/>
        <s v="DISTRIBUIDORA DE PRODUCTOS DE CONSUMO MASIVO CODIPROMASA C.A"/>
        <s v="CENTRO DE COMERCIO GUALLI CIA. LTDA."/>
        <s v="CEDEÑO MEDINA WASHINGTON MONSERRATE"/>
        <s v="CEDEPLUS S.C.C."/>
        <s v="CAYA-AUTOSERVICIOS S.A.S"/>
        <s v="CARRILLO GALARZA MARCO ANTONIO"/>
        <s v="CAIVEL S.A."/>
        <s v="COMISARIATO ELSITIO C.L."/>
        <s v="BUSTAMANTE RAMIRO OSWALDO"/>
        <s v="LOMBEIDA GONZALEZ JENNY SILVANA"/>
        <s v="BRAVO MORETA DORIS VANESSA (SUPER DESPENSA POLITA)"/>
        <s v="BRAVO CEDEÑO NELSON RENE"/>
        <s v="AVEIGA FALCONES DANY MARON"/>
        <s v="ARBOLEDA VACA LETTY VIRGINIA"/>
        <s v="MACIAS CEDEÑO CESAR ENRIQUE"/>
        <s v="ANDRADE ANDRADE GEMA LUCIA"/>
        <s v="ALVARADO ORELLANA YADIRA EVELYN"/>
        <s v="GLORIA DEL CARMEN FALLU VERA"/>
        <s v="GILER ZAMBRANO MARIA PAOLA"/>
        <m/>
        <s v="CEDEÑO INTRIAGO FABIAN VICENTE/CEDEPLUS SCC" u="1"/>
        <s v="BRAVO MORETA DORIS VANESSA   (SUPER DESPENSA POLITA)" u="1"/>
      </sharedItems>
    </cacheField>
    <cacheField name="PLAN" numFmtId="0">
      <sharedItems containsBlank="1"/>
    </cacheField>
    <cacheField name="CATEGORIAS" numFmtId="0">
      <sharedItems containsBlank="1"/>
    </cacheField>
    <cacheField name="CONCAT" numFmtId="0">
      <sharedItems containsBlank="1"/>
    </cacheField>
    <cacheField name="ABRIL" numFmtId="0">
      <sharedItems containsString="0" containsBlank="1" containsNumber="1" minValue="0" maxValue="34788.06"/>
    </cacheField>
    <cacheField name="MAYO" numFmtId="0">
      <sharedItems containsString="0" containsBlank="1" containsNumber="1" minValue="0" maxValue="34788.06"/>
    </cacheField>
    <cacheField name="JUNIO" numFmtId="0">
      <sharedItems containsString="0" containsBlank="1" containsNumber="1" minValue="0" maxValue="34788.06"/>
    </cacheField>
    <cacheField name="TOTAL Q2" numFmtId="165">
      <sharedItems containsString="0" containsBlank="1" containsNumber="1" minValue="0" maxValue="104364.18"/>
    </cacheField>
    <cacheField name="REBATE A APLICAR %" numFmtId="0">
      <sharedItems containsString="0" containsBlank="1" containsNumber="1" minValue="0.01" maxValue="0.11"/>
    </cacheField>
    <cacheField name="REBATE $" numFmtId="0">
      <sharedItems containsSemiMixedTypes="0" containsString="0" containsNumber="1" minValue="0" maxValue="4696.3880999999992"/>
    </cacheField>
    <cacheField name="REBATE MAXIMO 110%" numFmtId="165">
      <sharedItems containsSemiMixedTypes="0" containsString="0" containsNumber="1" minValue="0" maxValue="5166.0269099999996"/>
    </cacheField>
    <cacheField name="ABRIL2" numFmtId="0">
      <sharedItems containsString="0" containsBlank="1" containsNumber="1" minValue="0" maxValue="43893.135999999969"/>
    </cacheField>
    <cacheField name="MAYO2" numFmtId="0">
      <sharedItems containsString="0" containsBlank="1" containsNumber="1" minValue="0" maxValue="50312.998399999997"/>
    </cacheField>
    <cacheField name="JUNIO2" numFmtId="0">
      <sharedItems containsSemiMixedTypes="0" containsString="0" containsNumber="1" minValue="0" maxValue="33288.956800000007"/>
    </cacheField>
    <cacheField name="CARTERA" numFmtId="0">
      <sharedItems containsNonDate="0" containsString="0" containsBlank="1"/>
    </cacheField>
    <cacheField name="VENTA Q4" numFmtId="165">
      <sharedItems containsString="0" containsBlank="1" containsNumber="1" minValue="0" maxValue="114944.03679999997"/>
    </cacheField>
    <cacheField name="CUMPLIMIENTO" numFmtId="10">
      <sharedItems containsSemiMixedTypes="0" containsString="0" containsNumber="1" minValue="0" maxValue="5.7728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ell Guamán" refreshedDate="46216.529288541664" createdVersion="8" refreshedVersion="8" minRefreshableVersion="3" recordCount="67" xr:uid="{2742F94B-3F37-4515-8C1A-B71BF4BD1A80}">
  <cacheSource type="worksheet">
    <worksheetSource ref="A3:D70" sheet="RESUMEN DE PAGOS"/>
  </cacheSource>
  <cacheFields count="4">
    <cacheField name="CEDI" numFmtId="0">
      <sharedItems count="8">
        <s v="CARLOS PROAÑO"/>
        <s v="Total CARLOS PROAÑO"/>
        <s v="JAVIER MALDONADO"/>
        <s v="Total JAVIER MALDONADO"/>
        <s v="MARCELO ESPINOZA"/>
        <s v="Total MARCELO ESPINOZA"/>
        <s v="XAVIER ALVARADO"/>
        <s v="Total XAVIER ALVARADO"/>
      </sharedItems>
    </cacheField>
    <cacheField name="CLIENTE" numFmtId="0">
      <sharedItems containsBlank="1"/>
    </cacheField>
    <cacheField name="VOLUMEN" numFmtId="165">
      <sharedItems containsString="0" containsBlank="1" containsNumber="1" minValue="0" maxValue="17159.142767999998"/>
    </cacheField>
    <cacheField name="VISIBILIDAD" numFmtId="165">
      <sharedItems containsSemiMixedTypes="0" containsString="0" containsNumber="1" containsInteger="1" minValue="0" maxValue="49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s v="MORAN LOPEZ WILMER ALFREDO"/>
    <s v="AUTOSERVICIO INDEPENDIENTE"/>
    <n v="1"/>
    <n v="1"/>
    <n v="0"/>
    <n v="240"/>
    <n v="90"/>
    <n v="0"/>
    <n v="330"/>
    <s v="MULTIMARCA"/>
    <s v="LIQUIDOS"/>
    <m/>
    <s v="CUMPLE"/>
    <s v="CUMPLE"/>
    <s v="NO CUMPLE"/>
    <n v="240"/>
    <n v="90"/>
    <n v="0"/>
    <n v="330"/>
  </r>
  <r>
    <x v="0"/>
    <s v="DISTRIBUIDORA DE PRODUCTOS DE CONSUMO MASIVO CODIPROMASA C.A"/>
    <s v="AUTOSERVICIO INDEPENDIENTE"/>
    <n v="0"/>
    <n v="2"/>
    <n v="0"/>
    <n v="0"/>
    <n v="240"/>
    <n v="0"/>
    <n v="240"/>
    <m/>
    <s v="MIX "/>
    <m/>
    <s v="NO CUMPLE"/>
    <s v="CUMPLE"/>
    <s v="NO CUMPLE"/>
    <n v="0"/>
    <n v="240"/>
    <n v="0"/>
    <n v="240"/>
  </r>
  <r>
    <x v="0"/>
    <s v="DISPROYSER S.A."/>
    <s v="AUTOSERVICIO INDEPENDIENTE"/>
    <n v="2"/>
    <n v="1"/>
    <n v="1"/>
    <n v="720"/>
    <n v="90"/>
    <n v="180"/>
    <n v="990"/>
    <s v="LAVA - GOL"/>
    <s v="GOL LIQUIDOS"/>
    <s v="LAVA"/>
    <s v="CUMPLE"/>
    <s v="CUMPLE"/>
    <s v="CUMPLE"/>
    <n v="720"/>
    <n v="90"/>
    <n v="180"/>
    <n v="990"/>
  </r>
  <r>
    <x v="0"/>
    <s v="ROXANA VILLACIS S.A. ROXVILL"/>
    <s v="AUTOSERVICIO INDEPENDIENTE"/>
    <n v="1"/>
    <n v="1"/>
    <m/>
    <n v="150"/>
    <n v="90"/>
    <n v="0"/>
    <n v="240"/>
    <s v="LAVA"/>
    <s v="LIQUIDOS"/>
    <m/>
    <s v="CUMPLE"/>
    <s v="CUMPLE"/>
    <s v="NO CUMPLE"/>
    <n v="150"/>
    <n v="90"/>
    <n v="0"/>
    <n v="240"/>
  </r>
  <r>
    <x v="0"/>
    <s v="ORTEGA GONZALEZ HERMES ADALBER"/>
    <s v="AUTOSERVICIO INDEPENDIENTE"/>
    <n v="0"/>
    <n v="0"/>
    <n v="1"/>
    <n v="0"/>
    <n v="0"/>
    <n v="150"/>
    <n v="150"/>
    <m/>
    <m/>
    <s v="PERCHA MIX"/>
    <s v="NO CUMPLE"/>
    <s v="NO CUMPLE"/>
    <s v="CUMPLE"/>
    <n v="0"/>
    <n v="0"/>
    <n v="150"/>
    <n v="150"/>
  </r>
  <r>
    <x v="0"/>
    <s v="CAYA-AUTOSERVICIOS S.A.S"/>
    <s v="AUTOSERVICIO INDEPENDIENTE"/>
    <n v="1"/>
    <n v="0"/>
    <n v="2"/>
    <n v="150"/>
    <n v="0"/>
    <n v="240"/>
    <n v="390"/>
    <s v="MULTIMARCA"/>
    <m/>
    <s v="GOL-LAVA"/>
    <s v="CUMPLE"/>
    <s v="NO CUMPLE"/>
    <s v="NO CUMPLE"/>
    <n v="150"/>
    <n v="0"/>
    <n v="0"/>
    <n v="150"/>
  </r>
  <r>
    <x v="1"/>
    <s v="PIGUAVE BELLO CATTY"/>
    <s v="AUTOSERVICIO INDEPENDIENTE"/>
    <m/>
    <m/>
    <n v="1"/>
    <n v="0"/>
    <n v="0"/>
    <n v="150"/>
    <n v="150"/>
    <m/>
    <m/>
    <s v="LAVA"/>
    <s v="NO CUMPLE"/>
    <s v="NO CUMPLE"/>
    <s v="NO CUMPLE"/>
    <n v="0"/>
    <n v="0"/>
    <n v="0"/>
    <n v="0"/>
  </r>
  <r>
    <x v="1"/>
    <s v="ZAMBRANO MOLINA JORGE EDUARDO"/>
    <s v="AUTOSERVICIO INDEPENDIENTE"/>
    <m/>
    <n v="1"/>
    <n v="1"/>
    <n v="0"/>
    <n v="120"/>
    <n v="180"/>
    <n v="300"/>
    <m/>
    <s v="GOL"/>
    <s v="LAVA"/>
    <s v="NO CUMPLE"/>
    <s v="CUMPLE"/>
    <s v="CUMPLE"/>
    <n v="0"/>
    <n v="120"/>
    <n v="180"/>
    <n v="300"/>
  </r>
  <r>
    <x v="1"/>
    <s v="ARBOLEDA VACA LETTY VIRGINIA"/>
    <s v="AUTOSERVICIO INDEPENDIENTE"/>
    <n v="1"/>
    <n v="1"/>
    <n v="1"/>
    <n v="600"/>
    <n v="120"/>
    <n v="180"/>
    <n v="900"/>
    <s v="GOL"/>
    <m/>
    <s v="LAVA "/>
    <s v="CUMPLE"/>
    <s v="NO CUMPLE"/>
    <s v="CUMPLE"/>
    <n v="600"/>
    <n v="0"/>
    <n v="180"/>
    <n v="780"/>
  </r>
  <r>
    <x v="1"/>
    <s v="COMERCIAL CASANOVA COMCASANOVA S.A."/>
    <s v="AUTOSERVICIO INDEPENDIENTE"/>
    <n v="1"/>
    <m/>
    <n v="1"/>
    <n v="360"/>
    <n v="0"/>
    <n v="200"/>
    <n v="560"/>
    <s v="GOL"/>
    <m/>
    <s v="LAVA"/>
    <s v="CUMPLE"/>
    <s v="NO CUMPLE"/>
    <s v="CUMPLE"/>
    <n v="360"/>
    <n v="0"/>
    <n v="200"/>
    <n v="560"/>
  </r>
  <r>
    <x v="1"/>
    <s v="COMERCIALIZADORA BASURTO &amp; SACON SUPERUNO S.A."/>
    <s v="AUTOSERVICIO INDEPENDIENTE"/>
    <m/>
    <n v="1"/>
    <n v="1"/>
    <n v="0"/>
    <n v="120"/>
    <n v="180"/>
    <n v="300"/>
    <m/>
    <m/>
    <s v="LAVA - GOL"/>
    <s v="NO CUMPLE"/>
    <s v="NO CUMPLE"/>
    <s v="CUMPLE"/>
    <n v="0"/>
    <n v="0"/>
    <n v="180"/>
    <n v="180"/>
  </r>
  <r>
    <x v="1"/>
    <s v="URETA MENDOZA YIMMY ANTONIO"/>
    <s v="AUTOSERVICIO INDEPENDIENTE"/>
    <n v="0"/>
    <n v="2"/>
    <n v="1"/>
    <n v="0"/>
    <n v="240"/>
    <n v="180"/>
    <n v="420"/>
    <m/>
    <s v="GOL - LIQUIDOS"/>
    <s v="LAVA"/>
    <s v="NO CUMPLE"/>
    <s v="CUMPLE"/>
    <s v="CUMPLE"/>
    <n v="0"/>
    <n v="240"/>
    <n v="180"/>
    <n v="420"/>
  </r>
  <r>
    <x v="1"/>
    <s v="PALMA CEDEÑO WALTER ALEJANDRO"/>
    <s v="AUTOSERVICIO INDEPENDIENTE"/>
    <n v="0"/>
    <n v="2"/>
    <n v="1"/>
    <n v="0"/>
    <n v="240"/>
    <n v="150"/>
    <n v="390"/>
    <m/>
    <s v="GOL-LIQUIDOS"/>
    <s v="GOL"/>
    <s v="NO CUMPLE"/>
    <s v="CUMPLE"/>
    <s v="NO CUMPLE"/>
    <n v="0"/>
    <n v="240"/>
    <n v="0"/>
    <n v="240"/>
  </r>
  <r>
    <x v="1"/>
    <s v="ZAMBRANO MACIAS FRANCISCO GREGORIO"/>
    <s v="AUTOSERVICIO INDEPENDIENTE"/>
    <m/>
    <m/>
    <n v="1"/>
    <n v="0"/>
    <n v="0"/>
    <n v="180"/>
    <n v="180"/>
    <m/>
    <m/>
    <s v="LAVA "/>
    <s v="NO CUMPLE"/>
    <s v="NO CUMPLE"/>
    <s v="CUMPLE"/>
    <n v="0"/>
    <n v="0"/>
    <n v="180"/>
    <n v="180"/>
  </r>
  <r>
    <x v="1"/>
    <s v="MACIAS CEDEÑO CESAR ENRIQUE"/>
    <s v="AUTOSERVICIO INDEPENDIENTE"/>
    <m/>
    <m/>
    <n v="1"/>
    <n v="0"/>
    <n v="0"/>
    <n v="200"/>
    <n v="200"/>
    <m/>
    <m/>
    <s v="LAVA"/>
    <s v="NO CUMPLE"/>
    <s v="NO CUMPLE"/>
    <s v="CUMPLE"/>
    <n v="0"/>
    <n v="0"/>
    <n v="200"/>
    <n v="200"/>
  </r>
  <r>
    <x v="1"/>
    <s v="ZAMBRANO VALENCIA MARGARITA"/>
    <s v="AUTOSERVICIO INDEPENDIENTE"/>
    <m/>
    <n v="1"/>
    <n v="1"/>
    <n v="0"/>
    <n v="120"/>
    <n v="180"/>
    <n v="300"/>
    <m/>
    <s v="GOL"/>
    <s v="LAVA"/>
    <s v="NO CUMPLE"/>
    <s v="CUMPLE"/>
    <s v="NO CUMPLE"/>
    <n v="0"/>
    <n v="120"/>
    <n v="0"/>
    <n v="120"/>
  </r>
  <r>
    <x v="1"/>
    <s v="AVEIGA FALCONES DANY MARON"/>
    <s v="AUTOSERVICIO INDEPENDIENTE"/>
    <n v="1"/>
    <n v="2"/>
    <m/>
    <n v="240"/>
    <n v="240"/>
    <n v="0"/>
    <n v="480"/>
    <s v="LAVA"/>
    <s v="GOL-LIQUIDOS"/>
    <m/>
    <s v="CUMPLE"/>
    <s v="CUMPLE"/>
    <s v="NO CUMPLE"/>
    <n v="240"/>
    <n v="240"/>
    <n v="0"/>
    <n v="480"/>
  </r>
  <r>
    <x v="1"/>
    <s v="GILER ZAMBRANO MARIA PAOLA"/>
    <s v="AUTOSERVICIO INDEPENDIENTE"/>
    <n v="1"/>
    <m/>
    <n v="1"/>
    <n v="210"/>
    <n v="0"/>
    <n v="180"/>
    <n v="390"/>
    <s v="MULTIMARCA"/>
    <m/>
    <s v="LAVA"/>
    <s v="CUMPLE"/>
    <s v="NO CUMPLE"/>
    <s v="CUMPLE"/>
    <n v="210"/>
    <n v="0"/>
    <n v="180"/>
    <n v="390"/>
  </r>
  <r>
    <x v="1"/>
    <s v="COMERCIAL ROMERO REYNA COMRO"/>
    <s v="AUTOSERVICIO INDEPENDIENTE"/>
    <m/>
    <m/>
    <n v="1"/>
    <n v="0"/>
    <n v="0"/>
    <n v="150"/>
    <n v="150"/>
    <m/>
    <m/>
    <s v="LAVA "/>
    <s v="NO CUMPLE"/>
    <s v="NO CUMPLE"/>
    <s v="NO CUMPLE"/>
    <n v="0"/>
    <n v="0"/>
    <n v="0"/>
    <n v="0"/>
  </r>
  <r>
    <x v="1"/>
    <s v="WANG CHONG LONG"/>
    <s v="AUTOSERVICIO INDEPENDIENTE"/>
    <n v="1"/>
    <n v="2"/>
    <n v="1"/>
    <n v="240"/>
    <n v="240"/>
    <n v="180"/>
    <n v="660"/>
    <s v="2 MULTIMARCA"/>
    <s v="GOL-LIQUIDOS"/>
    <s v="LAVA"/>
    <s v="CUMPLE"/>
    <s v="NO CUMPLE"/>
    <s v="CUMPLE"/>
    <n v="240"/>
    <n v="0"/>
    <n v="180"/>
    <n v="420"/>
  </r>
  <r>
    <x v="1"/>
    <s v="CEDEÑO MEDINA WASHINGTON MONSERRATE"/>
    <s v="AUTOSERVICIO INDEPENDIENTE"/>
    <n v="1"/>
    <n v="0"/>
    <n v="0"/>
    <n v="240"/>
    <n v="0"/>
    <n v="0"/>
    <n v="240"/>
    <s v="MULTIMARCA"/>
    <m/>
    <m/>
    <s v="CUMPLE"/>
    <s v="NO CUMPLE"/>
    <s v="NO CUMPLE"/>
    <n v="240"/>
    <n v="0"/>
    <n v="0"/>
    <n v="240"/>
  </r>
  <r>
    <x v="2"/>
    <s v="ROCHA ROCHA CESAR JOAQUIN"/>
    <s v="AUTOSERVICIO INDEPENDIENTE"/>
    <m/>
    <n v="3"/>
    <n v="2"/>
    <m/>
    <n v="135"/>
    <n v="160"/>
    <n v="295"/>
    <m/>
    <s v="LAVA - GOL - LÍQUIDOS"/>
    <s v="LAVA - GOL"/>
    <s v="NO CUMPLE"/>
    <s v="CUMPLE"/>
    <s v="CUMPLE"/>
    <n v="0"/>
    <n v="135"/>
    <n v="80"/>
    <n v="215"/>
  </r>
  <r>
    <x v="3"/>
    <s v="IMPORTADORA CARANQUI CIA.LTDA."/>
    <s v="AUTOSERVICIO INDEPENDIENTE"/>
    <n v="0"/>
    <n v="1"/>
    <n v="1"/>
    <n v="0"/>
    <n v="120"/>
    <n v="180"/>
    <n v="300"/>
    <m/>
    <s v="GOL"/>
    <s v="LAVA"/>
    <s v="NO CUMPLE"/>
    <s v="CUMPLE"/>
    <s v="NO CUMPLE"/>
    <n v="0"/>
    <n v="120"/>
    <n v="0"/>
    <n v="120"/>
  </r>
  <r>
    <x v="3"/>
    <s v="HERRERA CABRERA JENNY JACQUELINE"/>
    <s v="AUTOSERVICIO INDEPENDIENTE"/>
    <n v="1"/>
    <n v="1"/>
    <n v="0"/>
    <n v="240"/>
    <n v="120"/>
    <n v="0"/>
    <n v="360"/>
    <s v="CREMA"/>
    <s v="GOL"/>
    <m/>
    <s v="CUMPLE"/>
    <s v="CUMPLE"/>
    <s v="NO CUMPLE"/>
    <n v="240"/>
    <n v="120"/>
    <n v="0"/>
    <n v="360"/>
  </r>
  <r>
    <x v="3"/>
    <s v="BRAVO MORETA DORIS VANESSA   (SUPER DESPENSA POLITA)"/>
    <s v="AUTOSERVICIO INDEPENDIENTE"/>
    <m/>
    <n v="1"/>
    <n v="1"/>
    <n v="0"/>
    <n v="120"/>
    <n v="180"/>
    <n v="300"/>
    <m/>
    <s v="GOL "/>
    <s v="LAVA"/>
    <s v="NO CUMPLE"/>
    <s v="CUMPLE"/>
    <s v="CUMPLE"/>
    <n v="0"/>
    <n v="120"/>
    <n v="180"/>
    <n v="300"/>
  </r>
  <r>
    <x v="3"/>
    <s v="COMERCIAL LA FERIA HLS CIA.LTDA."/>
    <s v="AUTOSERVICIO INDEPENDIENTE"/>
    <n v="0"/>
    <n v="2"/>
    <n v="1"/>
    <n v="0"/>
    <n v="240"/>
    <n v="180"/>
    <n v="420"/>
    <m/>
    <s v="GOL-LAVA"/>
    <s v="LAVA"/>
    <s v="NO CUMPLE"/>
    <s v="CUMPLE"/>
    <s v="NO CUMPLE"/>
    <n v="0"/>
    <n v="240"/>
    <n v="0"/>
    <n v="240"/>
  </r>
  <r>
    <x v="3"/>
    <s v="QUICHIMBO DIAZ CENELIA DEL CISNE"/>
    <s v="AUTOSERVICIO INDEPENDIENTE"/>
    <n v="1"/>
    <n v="1"/>
    <n v="1"/>
    <n v="240"/>
    <n v="120"/>
    <n v="195"/>
    <n v="555"/>
    <s v="LAVA"/>
    <s v="GOL"/>
    <s v="LAVA"/>
    <s v="CUMPLE"/>
    <s v="CUMPLE"/>
    <s v="NO CUMPLE"/>
    <n v="240"/>
    <n v="120"/>
    <n v="0"/>
    <n v="360"/>
  </r>
  <r>
    <x v="3"/>
    <s v="SOCIEDAD CIVIL MARCSOL Y CIA"/>
    <s v="AUTOSERVICIO INDEPENDIENTE"/>
    <m/>
    <n v="1"/>
    <n v="1"/>
    <n v="0"/>
    <n v="120"/>
    <n v="180"/>
    <n v="300"/>
    <m/>
    <s v="GOL"/>
    <s v="LAVA"/>
    <s v="NO CUMPLE"/>
    <s v="CUMPLE"/>
    <s v="CUMPLE"/>
    <n v="0"/>
    <n v="120"/>
    <n v="180"/>
    <n v="300"/>
  </r>
  <r>
    <x v="3"/>
    <s v="CAIVEL S.A."/>
    <s v="AUTOSERVICIO INDEPENDIENTE"/>
    <m/>
    <n v="1"/>
    <n v="1"/>
    <n v="0"/>
    <n v="120"/>
    <n v="180"/>
    <n v="300"/>
    <m/>
    <s v="GOL"/>
    <s v="LAVA"/>
    <s v="NO CUMPLE"/>
    <s v="CUMPLE"/>
    <s v="NO CUMPLE"/>
    <n v="0"/>
    <n v="120"/>
    <n v="0"/>
    <n v="120"/>
  </r>
  <r>
    <x v="3"/>
    <s v="CEDEÑO INTRIAGO FABIAN VICENTE/CEDEPLUS SCC"/>
    <s v="AUTOSERVICIO INDEPENDIENTE"/>
    <n v="1"/>
    <n v="1"/>
    <n v="1"/>
    <n v="240"/>
    <n v="120"/>
    <n v="195"/>
    <n v="555"/>
    <s v="LIQUIDOS GOL"/>
    <s v="GOL"/>
    <s v="LAVA"/>
    <s v="CUMPLE"/>
    <s v="CUMPLE"/>
    <s v="NO CUMPLE"/>
    <n v="240"/>
    <n v="120"/>
    <n v="0"/>
    <n v="360"/>
  </r>
  <r>
    <x v="3"/>
    <s v="SAMANIEGO TANDAZO BLADIMIR FELIX (SUPER SAV)"/>
    <s v="AUTOSERVICIO INDEPENDIENTE"/>
    <n v="0"/>
    <n v="1"/>
    <n v="1"/>
    <n v="0"/>
    <n v="240"/>
    <n v="180"/>
    <n v="420"/>
    <m/>
    <s v="GOL"/>
    <s v="LAVA"/>
    <s v="NO CUMPLE"/>
    <s v="CUMPLE"/>
    <s v="NO CUMPLE"/>
    <n v="0"/>
    <n v="240"/>
    <n v="0"/>
    <n v="240"/>
  </r>
  <r>
    <x v="3"/>
    <s v="LITARDO MURILLO JANELA ALEXANDRA"/>
    <s v="AUTOSERVICIO INDEPENDIENTE"/>
    <m/>
    <n v="1"/>
    <n v="1"/>
    <n v="0"/>
    <n v="120"/>
    <n v="180"/>
    <n v="300"/>
    <m/>
    <s v="GOL"/>
    <s v="GOL"/>
    <s v="NO CUMPLE"/>
    <s v="CUMPLE"/>
    <s v="NO CUMPLE"/>
    <n v="0"/>
    <n v="120"/>
    <n v="0"/>
    <n v="120"/>
  </r>
  <r>
    <x v="3"/>
    <s v="DISTRIBUIDORA SUPER TIENDA QUEVEDO LUMACAI SA"/>
    <s v="AUTOSERVICIO INDEPENDIENTE"/>
    <n v="0"/>
    <n v="1"/>
    <n v="1"/>
    <n v="0"/>
    <n v="120"/>
    <n v="180"/>
    <n v="300"/>
    <m/>
    <s v="GOL"/>
    <s v="LAVA"/>
    <s v="NO CUMPLE"/>
    <s v="CUMPLE"/>
    <s v="NO CUMPLE"/>
    <n v="0"/>
    <n v="120"/>
    <n v="0"/>
    <n v="120"/>
  </r>
  <r>
    <x v="3"/>
    <s v="LOMBEIDA GONZALEZ WILSON BAYARDO(COMISARIATO LA GRAN OFERTA)"/>
    <s v="AUTOSERVICIO INDEPENDIENTE"/>
    <m/>
    <n v="1"/>
    <n v="1"/>
    <n v="0"/>
    <n v="120"/>
    <n v="180"/>
    <n v="300"/>
    <m/>
    <s v="GOL"/>
    <s v="LAVA"/>
    <s v="NO CUMPLE"/>
    <s v="CUMPLE"/>
    <s v="NO CUMPLE"/>
    <n v="0"/>
    <n v="120"/>
    <n v="0"/>
    <n v="120"/>
  </r>
  <r>
    <x v="3"/>
    <s v="LOMBEIDA GONZALEZ JENNY SILVANA"/>
    <s v="AUTOSERVICIO INDEPENDIENTE"/>
    <n v="0"/>
    <n v="1"/>
    <n v="1"/>
    <n v="0"/>
    <n v="120"/>
    <n v="180"/>
    <n v="300"/>
    <m/>
    <s v="GOL"/>
    <s v="LAVA"/>
    <s v="NO CUMPLE"/>
    <s v="CUMPLE"/>
    <s v="NO CUMPLE"/>
    <n v="0"/>
    <n v="120"/>
    <n v="0"/>
    <n v="120"/>
  </r>
  <r>
    <x v="0"/>
    <s v="YANEZ CARDENAS ESTELA ELIZABETH"/>
    <s v="MAYORISTA PURO"/>
    <n v="0"/>
    <n v="1"/>
    <n v="0"/>
    <n v="0"/>
    <n v="120"/>
    <n v="0"/>
    <n v="120"/>
    <m/>
    <s v="EXHIBIDOR MULTIMARCA"/>
    <m/>
    <s v="NO CUMPLE"/>
    <s v="CUMPLE"/>
    <s v="NO CUMPLE"/>
    <n v="0"/>
    <n v="120"/>
    <n v="0"/>
    <n v="120"/>
  </r>
  <r>
    <x v="0"/>
    <s v="ALMANE CIA. LTDA."/>
    <s v="AUTOSERVICIO INDEPENDIENTE"/>
    <n v="1"/>
    <n v="1"/>
    <n v="1"/>
    <n v="240"/>
    <n v="90"/>
    <n v="180"/>
    <n v="510"/>
    <s v="LAVA"/>
    <s v="GOL"/>
    <s v="BARRA"/>
    <s v="CUMPLE"/>
    <s v="CUMPLE"/>
    <s v="CUMPLE"/>
    <n v="240"/>
    <n v="90"/>
    <n v="180"/>
    <n v="510"/>
  </r>
  <r>
    <x v="0"/>
    <s v="MOVACAZA S.A.S"/>
    <s v="AUTOSERVICIO INDEPENDIENTE"/>
    <n v="1"/>
    <n v="1"/>
    <n v="1"/>
    <n v="180"/>
    <n v="90"/>
    <n v="150"/>
    <n v="420"/>
    <s v="GOL"/>
    <s v="LIQUIDOS"/>
    <s v="LAVA"/>
    <s v="CUMPLE"/>
    <s v="CUMPLE"/>
    <s v="CUMPLE"/>
    <n v="180"/>
    <n v="90"/>
    <n v="150"/>
    <n v="420"/>
  </r>
  <r>
    <x v="0"/>
    <s v="QUELAL SALDAÑA MERY AZUCENA"/>
    <s v="MAYORISTA PURO"/>
    <n v="0"/>
    <n v="1"/>
    <n v="0"/>
    <n v="0"/>
    <n v="120"/>
    <n v="0"/>
    <n v="120"/>
    <m/>
    <s v="EXHIBIDOR MULTIMARCA"/>
    <m/>
    <s v="NO CUMPLE"/>
    <s v="CUMPLE"/>
    <s v="NO CUMPLE"/>
    <n v="0"/>
    <n v="120"/>
    <n v="0"/>
    <n v="120"/>
  </r>
  <r>
    <x v="2"/>
    <s v="YUCAILLA PADILLA RENE WILFRIDO"/>
    <s v="AUTOSERVICIO INDEPENDIENTE"/>
    <n v="1"/>
    <n v="2"/>
    <n v="1"/>
    <n v="80"/>
    <n v="120"/>
    <n v="120"/>
    <n v="320"/>
    <s v="GOL"/>
    <s v="LAVA - GOL"/>
    <s v="LAVA - GOL"/>
    <s v="CUMPLE"/>
    <s v="NO CUMPLE"/>
    <s v="CUMPLE"/>
    <n v="80"/>
    <n v="0"/>
    <n v="120"/>
    <n v="200"/>
  </r>
  <r>
    <x v="2"/>
    <s v="DISTRIBUIDORA SUPERALIANZA S.A.S"/>
    <s v="AUTOSERVICIO INDEPENDIENTE"/>
    <n v="1"/>
    <n v="3"/>
    <n v="2"/>
    <n v="60"/>
    <n v="240"/>
    <n v="160"/>
    <n v="460"/>
    <s v="LAVA"/>
    <s v="LAVA - GOL - LÍQUIDOS"/>
    <s v="LAVA - GOL"/>
    <s v="CUMPLE"/>
    <s v="CUMPLE"/>
    <s v="CUMPLE"/>
    <n v="60"/>
    <n v="240"/>
    <n v="160"/>
    <n v="460"/>
  </r>
  <r>
    <x v="2"/>
    <s v="COMISARIATO ELSITIO C.L."/>
    <s v="AUTOSERVICIO INDEPENDIENTE"/>
    <m/>
    <n v="3"/>
    <n v="2"/>
    <m/>
    <n v="360"/>
    <n v="240"/>
    <n v="600"/>
    <m/>
    <s v="LAVA - GOL - LÍQUIDOS"/>
    <s v="LAVA-GOL"/>
    <s v="NO CUMPLE"/>
    <s v="CUMPLE"/>
    <s v="CUMPLE"/>
    <n v="0"/>
    <n v="240"/>
    <n v="120"/>
    <n v="360"/>
  </r>
  <r>
    <x v="2"/>
    <s v="BUSTAMANTE RAMIRO OSWALDO"/>
    <s v="AUTOSERVICIO INDEPENDIENTE"/>
    <n v="1"/>
    <n v="3"/>
    <n v="1"/>
    <n v="60"/>
    <n v="270"/>
    <n v="120"/>
    <n v="450"/>
    <s v="LAVA "/>
    <s v="LAVA - GOL - LÍQUIDOS"/>
    <s v="LAVA - GOL"/>
    <s v="NO CUMPLE"/>
    <s v="CUMPLE"/>
    <s v="CUMPLE"/>
    <n v="0"/>
    <n v="270"/>
    <n v="120"/>
    <n v="390"/>
  </r>
  <r>
    <x v="4"/>
    <m/>
    <m/>
    <n v="19"/>
    <n v="49"/>
    <n v="39"/>
    <n v="4490"/>
    <n v="5295"/>
    <n v="6180"/>
    <n v="15965"/>
    <m/>
    <m/>
    <m/>
    <m/>
    <m/>
    <m/>
    <n v="4430"/>
    <n v="4575"/>
    <n v="3280"/>
    <n v="122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s v="ANDRADE ANDRADE GEMA LUCIA"/>
    <n v="0"/>
    <m/>
    <m/>
  </r>
  <r>
    <x v="0"/>
    <s v="ARBOLEDA VACA LETTY VIRGINIA"/>
    <n v="533.48793000000012"/>
    <m/>
    <m/>
  </r>
  <r>
    <x v="0"/>
    <s v="AVEIGA FALCONES DANY MARON"/>
    <n v="44.550000000000004"/>
    <m/>
    <m/>
  </r>
  <r>
    <x v="0"/>
    <s v="BRAVO CEDEÑO NELSON RENE"/>
    <n v="4.95"/>
    <m/>
    <m/>
  </r>
  <r>
    <x v="0"/>
    <s v="CEDEÑO MEDINA WASHINGTON MONSERRATE"/>
    <n v="9.02088"/>
    <m/>
    <m/>
  </r>
  <r>
    <x v="0"/>
    <s v="COMERCIAL CASANOVA COMCASANOVA S.A."/>
    <n v="121.02453"/>
    <m/>
    <m/>
  </r>
  <r>
    <x v="0"/>
    <s v="COMERCIAL ROMERO REYNA COMRO"/>
    <n v="0"/>
    <m/>
    <m/>
  </r>
  <r>
    <x v="0"/>
    <s v="COMERCIALIZADORA BASURTO &amp; SACON SUPERUNO S.A."/>
    <n v="0"/>
    <m/>
    <m/>
  </r>
  <r>
    <x v="0"/>
    <s v="GILER ZAMBRANO MARIA PAOLA"/>
    <n v="39.6"/>
    <m/>
    <m/>
  </r>
  <r>
    <x v="0"/>
    <s v="GLORIA DEL CARMEN FALLU VERA"/>
    <n v="29.700000000000003"/>
    <m/>
    <m/>
  </r>
  <r>
    <x v="0"/>
    <s v="MACIAS CEDEÑO CESAR ENRIQUE"/>
    <n v="393.63235200000003"/>
    <m/>
    <m/>
  </r>
  <r>
    <x v="0"/>
    <s v="PALMA CEDEÑO WALTER ALEJANDRO"/>
    <n v="205.92033000000004"/>
    <m/>
    <m/>
  </r>
  <r>
    <x v="0"/>
    <s v="PIGUAVE BELLO CATTY"/>
    <n v="86.063010000000006"/>
    <m/>
    <m/>
  </r>
  <r>
    <x v="0"/>
    <s v="ROBERT - PONCE COMPANY S.A.S"/>
    <n v="0"/>
    <m/>
    <m/>
  </r>
  <r>
    <x v="0"/>
    <s v="URETA MENDOZA ERMEL RUBEN"/>
    <n v="0"/>
    <m/>
    <m/>
  </r>
  <r>
    <x v="0"/>
    <s v="URETA MENDOZA YIMMY ANTONIO"/>
    <n v="23.067"/>
    <m/>
    <m/>
  </r>
  <r>
    <x v="0"/>
    <s v="WANG CHONG LONG"/>
    <n v="0"/>
    <m/>
    <m/>
  </r>
  <r>
    <x v="0"/>
    <s v="ZAMBRANO MACIAS FRANCISCO GREGORIO"/>
    <n v="21.879000000000001"/>
    <m/>
    <m/>
  </r>
  <r>
    <x v="0"/>
    <s v="ZAMBRANO MOLINA JORGE EDUARDO"/>
    <n v="0"/>
    <m/>
    <m/>
  </r>
  <r>
    <x v="0"/>
    <s v="ZAMBRANO VALENCIA MARGARITA"/>
    <n v="0"/>
    <m/>
    <m/>
  </r>
  <r>
    <x v="0"/>
    <s v="ZAMBRANO ZAMBRANO CLEYTON ELIECER"/>
    <n v="0"/>
    <m/>
    <m/>
  </r>
  <r>
    <x v="1"/>
    <s v="BUSTAMANTE RAMIRO OSWALDO"/>
    <n v="0"/>
    <m/>
    <m/>
  </r>
  <r>
    <x v="1"/>
    <s v="COMISARIATO ELSITIO C.L."/>
    <n v="0"/>
    <m/>
    <m/>
  </r>
  <r>
    <x v="1"/>
    <s v="DISTRIBUIDORA SUPERALIANZA S.A.S"/>
    <n v="95.008380000000017"/>
    <m/>
    <m/>
  </r>
  <r>
    <x v="1"/>
    <s v="GUADALUPE CASTILLO ERNESTO VICENTE"/>
    <n v="29.980500000000003"/>
    <m/>
    <m/>
  </r>
  <r>
    <x v="1"/>
    <s v="MASTIAN CHILENO LUIS GEOVANNY"/>
    <n v="3.4650000000000003"/>
    <m/>
    <m/>
  </r>
  <r>
    <x v="1"/>
    <s v="YUCAILLA PADILLA RENE WILFRIDO"/>
    <n v="0.74250000000000005"/>
    <m/>
    <m/>
  </r>
  <r>
    <x v="2"/>
    <s v="BRAVO MORETA DORIS VANESSA (SUPER DESPENSA POLITA)"/>
    <n v="935.2911150000001"/>
    <m/>
    <m/>
  </r>
  <r>
    <x v="2"/>
    <s v="CAIVEL S.A."/>
    <n v="72.80856"/>
    <m/>
    <m/>
  </r>
  <r>
    <x v="2"/>
    <s v="CEDEÑO INTRIAGO FABIAN VICENTE/CEDEPLUS SCC"/>
    <n v="0"/>
    <m/>
    <m/>
  </r>
  <r>
    <x v="2"/>
    <s v="CEDEPLUS S.C.C."/>
    <n v="0"/>
    <m/>
    <m/>
  </r>
  <r>
    <x v="2"/>
    <s v="COMERCIAL LA FERIA HLS CIA.LTDA."/>
    <n v="252.54206999999997"/>
    <m/>
    <m/>
  </r>
  <r>
    <x v="2"/>
    <s v="DISTRIBUIDORA SUPER TIENDA QUEVEDO LUMACAI SA"/>
    <n v="0"/>
    <m/>
    <m/>
  </r>
  <r>
    <x v="2"/>
    <s v="GALLARDO BUSTILLOS GENESIS ESTEFANIA"/>
    <n v="0"/>
    <m/>
    <m/>
  </r>
  <r>
    <x v="2"/>
    <s v="HERRERA CABRERA JENNY JACQUELINE"/>
    <n v="201.843345"/>
    <m/>
    <m/>
  </r>
  <r>
    <x v="2"/>
    <s v="IMPORTADORA CARANQUI CIA.LTDA."/>
    <n v="0"/>
    <m/>
    <m/>
  </r>
  <r>
    <x v="2"/>
    <s v="LITARDO MURILLO JANELA ALEXANDRA"/>
    <n v="297.90756000000005"/>
    <m/>
    <m/>
  </r>
  <r>
    <x v="2"/>
    <s v="LOMBEIDA GONZALEZ JENNY SILVANA"/>
    <n v="0"/>
    <m/>
    <m/>
  </r>
  <r>
    <x v="2"/>
    <s v="LOMBEIDA GONZALEZ WILSON BAYARDO(COMISARIATO LA GRAN OFERTA)"/>
    <n v="0"/>
    <m/>
    <m/>
  </r>
  <r>
    <x v="2"/>
    <s v="QUICHIMBO DIAZ CENELIA DEL CISNE"/>
    <n v="0"/>
    <m/>
    <m/>
  </r>
  <r>
    <x v="2"/>
    <s v="SAMANIEGO TANDAZO BLADIMIR FELIX (SUPER SAV)"/>
    <n v="0"/>
    <m/>
    <m/>
  </r>
  <r>
    <x v="2"/>
    <s v="SANTANA VERA ALFREDO JOSELITO"/>
    <n v="0"/>
    <m/>
    <m/>
  </r>
  <r>
    <x v="2"/>
    <s v="SOCIEDAD CIVIL MARCSOL Y CIA"/>
    <n v="42.761565000000004"/>
    <m/>
    <m/>
  </r>
  <r>
    <x v="3"/>
    <s v="ALMANE CIA. LTDA."/>
    <n v="649.9408380000001"/>
    <m/>
    <m/>
  </r>
  <r>
    <x v="3"/>
    <s v="ALVARADO ORELLANA YADIRA EVELYN"/>
    <n v="222.75000000000003"/>
    <m/>
    <m/>
  </r>
  <r>
    <x v="3"/>
    <s v="CARRILLO GALARZA MARCO ANTONIO"/>
    <n v="0"/>
    <m/>
    <m/>
  </r>
  <r>
    <x v="3"/>
    <s v="CAYA-AUTOSERVICIOS S.A.S"/>
    <n v="778.32029399999999"/>
    <m/>
    <m/>
  </r>
  <r>
    <x v="3"/>
    <s v="CENTRO DE COMERCIO GUALLI CIA. LTDA."/>
    <n v="0"/>
    <m/>
    <m/>
  </r>
  <r>
    <x v="3"/>
    <s v="CONSTRUWITHE S.A."/>
    <n v="0"/>
    <m/>
    <m/>
  </r>
  <r>
    <x v="3"/>
    <s v="DISPROYSER S.A."/>
    <n v="0"/>
    <m/>
    <m/>
  </r>
  <r>
    <x v="3"/>
    <s v="DISTRIBUIDORA DE PRODUCTOS DE CONSUMO MASIVO CODIPROMASA C.A"/>
    <n v="178.20000000000002"/>
    <m/>
    <m/>
  </r>
  <r>
    <x v="3"/>
    <s v="JMORA-WMORAN S.A.S S.A."/>
    <n v="180.51550000000003"/>
    <m/>
    <m/>
  </r>
  <r>
    <x v="3"/>
    <s v="JOAMELCORP SA"/>
    <n v="0"/>
    <m/>
    <m/>
  </r>
  <r>
    <x v="3"/>
    <s v="MOVACAZA S.A.S"/>
    <n v="38.461500000000008"/>
    <m/>
    <m/>
  </r>
  <r>
    <x v="3"/>
    <s v="MULLO DUCHI ANA LUCIA"/>
    <n v="0"/>
    <m/>
    <m/>
  </r>
  <r>
    <x v="3"/>
    <s v="ORTEGA GONZALEZ HERMES ADALBER"/>
    <n v="73.111500000000007"/>
    <m/>
    <m/>
  </r>
  <r>
    <x v="3"/>
    <s v="QUELAL SALDAÑA MANUEL EDUARDO"/>
    <n v="5.0985000000000005"/>
    <m/>
    <m/>
  </r>
  <r>
    <x v="3"/>
    <s v="QUELAL SALDAÑA MERY AZUCENA"/>
    <n v="135.72900000000001"/>
    <m/>
    <m/>
  </r>
  <r>
    <x v="3"/>
    <s v="ROXANA VILLACIS S.A. ROXVILL"/>
    <n v="0"/>
    <m/>
    <m/>
  </r>
  <r>
    <x v="3"/>
    <s v="SARANGO PAREDES YERMAN ANIVAL"/>
    <n v="0"/>
    <m/>
    <m/>
  </r>
  <r>
    <x v="3"/>
    <s v="TOALOMBO LLACA ROSA ISABEL"/>
    <n v="0"/>
    <m/>
    <m/>
  </r>
  <r>
    <x v="3"/>
    <s v="YAGUACHI QUISHPI MARIA ELVIRA"/>
    <n v="0"/>
    <m/>
    <m/>
  </r>
  <r>
    <x v="3"/>
    <s v="YANEZ CARDENAS ESTELA ELIZABETH"/>
    <n v="0"/>
    <m/>
    <m/>
  </r>
  <r>
    <x v="4"/>
    <m/>
    <n v="5707.3727590000008"/>
    <m/>
    <m/>
  </r>
  <r>
    <x v="5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x v="0"/>
    <x v="0"/>
    <s v="AUTOSERVICIO INDEPENDIENTE"/>
    <s v="BARRA"/>
    <s v="ZAMBRANO ZAMBRANO CLEYTON ELIECERBARRA"/>
    <n v="600"/>
    <n v="600"/>
    <n v="600"/>
    <n v="1800"/>
    <n v="1.4999999999999999E-2"/>
    <n v="27"/>
    <n v="29.700000000000003"/>
    <n v="697.81880000000001"/>
    <n v="213.64799999999997"/>
    <n v="673.6268"/>
    <m/>
    <n v="1585.0935999999999"/>
    <n v="0.88060755555555548"/>
  </r>
  <r>
    <x v="0"/>
    <x v="0"/>
    <s v="AUTOSERVICIO INDEPENDIENTE"/>
    <s v="CREMA"/>
    <s v="ZAMBRANO ZAMBRANO CLEYTON ELIECERCREMA"/>
    <n v="1314"/>
    <n v="1314"/>
    <n v="1314"/>
    <n v="3942"/>
    <n v="3.5000000000000003E-2"/>
    <n v="137.97000000000003"/>
    <n v="151.76700000000005"/>
    <n v="1401.5471999999991"/>
    <n v="1074.4788000000003"/>
    <n v="1923.4079999999983"/>
    <m/>
    <n v="4399.4339999999975"/>
    <n v="1.1160410958904103"/>
  </r>
  <r>
    <x v="0"/>
    <x v="0"/>
    <s v="AUTOSERVICIO INDEPENDIENTE"/>
    <s v="LIQUIDO"/>
    <s v="ZAMBRANO ZAMBRANO CLEYTON ELIECERLIQUIDO"/>
    <n v="110"/>
    <n v="110"/>
    <n v="110"/>
    <n v="330"/>
    <n v="1.4999999999999999E-2"/>
    <n v="4.95"/>
    <n v="5.4450000000000003"/>
    <n v="404.36160000000001"/>
    <n v="0"/>
    <n v="0"/>
    <m/>
    <n v="404.36160000000001"/>
    <n v="1.2253381818181819"/>
  </r>
  <r>
    <x v="0"/>
    <x v="0"/>
    <s v="AUTOSERVICIO INDEPENDIENTE"/>
    <s v="POLVO DETERGENTE"/>
    <s v="ZAMBRANO ZAMBRANO CLEYTON ELIECERPOLVO DETERGENTE"/>
    <n v="1650"/>
    <n v="1650"/>
    <n v="1650"/>
    <n v="4950"/>
    <n v="4.4999999999999998E-2"/>
    <n v="222.75"/>
    <n v="245.02499999999998"/>
    <n v="1770.597"/>
    <n v="1180.7920000000001"/>
    <n v="2367.8160000000007"/>
    <m/>
    <n v="5319.2050000000008"/>
    <n v="1.0745868686868689"/>
  </r>
  <r>
    <x v="0"/>
    <x v="0"/>
    <s v="AUTOSERVICIO INDEPENDIENTE"/>
    <s v="OTRAS CATEGORIAS"/>
    <s v="ZAMBRANO ZAMBRANO CLEYTON ELIECEROTRAS CATEGORIAS"/>
    <n v="10"/>
    <n v="10"/>
    <n v="10"/>
    <n v="30"/>
    <m/>
    <n v="0"/>
    <n v="0"/>
    <n v="79"/>
    <m/>
    <n v="39"/>
    <m/>
    <n v="118"/>
    <n v="3.9333333333333331"/>
  </r>
  <r>
    <x v="0"/>
    <x v="1"/>
    <s v="AUTOSERVICIO INDEPENDIENTE"/>
    <s v="BARRA"/>
    <s v="ZAMBRANO VALENCIA MARGARITABARRA"/>
    <n v="2152.88"/>
    <n v="2152.88"/>
    <n v="2152.88"/>
    <n v="6458.64"/>
    <n v="1.4999999999999999E-2"/>
    <n v="96.879599999999996"/>
    <n v="106.56756000000001"/>
    <n v="0"/>
    <n v="5250.5104000000001"/>
    <n v="0"/>
    <m/>
    <n v="5250.5104000000001"/>
    <n v="0.81294365377231115"/>
  </r>
  <r>
    <x v="0"/>
    <x v="1"/>
    <s v="AUTOSERVICIO INDEPENDIENTE"/>
    <s v="CREMA"/>
    <s v="ZAMBRANO VALENCIA MARGARITACREMA"/>
    <n v="2051"/>
    <n v="2051"/>
    <n v="2051"/>
    <n v="6153"/>
    <n v="3.5000000000000003E-2"/>
    <n v="215.35500000000002"/>
    <n v="236.89050000000003"/>
    <n v="0"/>
    <n v="1473.0101999999999"/>
    <n v="0"/>
    <m/>
    <n v="1473.0101999999999"/>
    <n v="0.23939707459775719"/>
  </r>
  <r>
    <x v="0"/>
    <x v="1"/>
    <s v="AUTOSERVICIO INDEPENDIENTE"/>
    <s v="LIQUIDO"/>
    <s v="ZAMBRANO VALENCIA MARGARITALIQUIDO"/>
    <n v="643"/>
    <n v="643"/>
    <n v="643"/>
    <n v="1929"/>
    <n v="1.4999999999999999E-2"/>
    <n v="28.934999999999999"/>
    <n v="31.828500000000002"/>
    <n v="0"/>
    <n v="561.08480000000009"/>
    <n v="0"/>
    <m/>
    <n v="561.08480000000009"/>
    <n v="0.29086822187662004"/>
  </r>
  <r>
    <x v="0"/>
    <x v="1"/>
    <s v="AUTOSERVICIO INDEPENDIENTE"/>
    <s v="POLVO DETERGENTE"/>
    <s v="ZAMBRANO VALENCIA MARGARITAPOLVO DETERGENTE"/>
    <n v="3480"/>
    <n v="3480"/>
    <n v="3480"/>
    <n v="10440"/>
    <n v="4.4999999999999998E-2"/>
    <n v="469.79999999999995"/>
    <n v="516.78000000000009"/>
    <n v="0"/>
    <n v="2638.0383999999999"/>
    <n v="0"/>
    <m/>
    <n v="2638.0383999999999"/>
    <n v="0.25268567049808427"/>
  </r>
  <r>
    <x v="0"/>
    <x v="1"/>
    <s v="AUTOSERVICIO INDEPENDIENTE"/>
    <s v="OTRAS CATEGORIAS"/>
    <s v="ZAMBRANO VALENCIA MARGARITAOTRAS CATEGORIAS"/>
    <n v="30"/>
    <n v="30"/>
    <n v="30"/>
    <n v="90"/>
    <m/>
    <n v="0"/>
    <n v="0"/>
    <n v="0"/>
    <n v="0"/>
    <n v="0"/>
    <m/>
    <n v="0"/>
    <n v="0"/>
  </r>
  <r>
    <x v="0"/>
    <x v="2"/>
    <s v="AUTOSERVICIO INDEPENDIENTE"/>
    <s v="BARRA"/>
    <s v="ZAMBRANO MOLINA JORGE EDUARDOBARRA"/>
    <n v="556"/>
    <n v="556"/>
    <n v="556"/>
    <n v="1668"/>
    <n v="1.4999999999999999E-2"/>
    <n v="25.02"/>
    <n v="27.522000000000002"/>
    <n v="518.91200000000003"/>
    <n v="515.44799999999998"/>
    <n v="670.19799999999998"/>
    <m/>
    <n v="1704.558"/>
    <n v="1.0219172661870504"/>
  </r>
  <r>
    <x v="0"/>
    <x v="2"/>
    <s v="AUTOSERVICIO INDEPENDIENTE"/>
    <s v="CREMA"/>
    <s v="ZAMBRANO MOLINA JORGE EDUARDOCREMA"/>
    <n v="1315.43"/>
    <n v="1315.43"/>
    <n v="1315.43"/>
    <n v="3946.29"/>
    <n v="3.5000000000000003E-2"/>
    <n v="138.12015000000002"/>
    <n v="151.932165"/>
    <n v="369.41640000000007"/>
    <n v="2220.4902000000002"/>
    <n v="1741.0482000000002"/>
    <m/>
    <n v="4330.9548000000004"/>
    <n v="1.0974750461826173"/>
  </r>
  <r>
    <x v="0"/>
    <x v="2"/>
    <s v="AUTOSERVICIO INDEPENDIENTE"/>
    <s v="LIQUIDO"/>
    <s v="ZAMBRANO MOLINA JORGE EDUARDOLIQUIDO"/>
    <n v="430"/>
    <n v="430"/>
    <n v="430"/>
    <n v="1290"/>
    <n v="1.4999999999999999E-2"/>
    <n v="19.349999999999998"/>
    <n v="21.285000000000004"/>
    <n v="487.08000000000004"/>
    <n v="716.79840000000002"/>
    <n v="175.96319999999997"/>
    <m/>
    <n v="1379.8416"/>
    <n v="1.0696446511627906"/>
  </r>
  <r>
    <x v="0"/>
    <x v="2"/>
    <s v="AUTOSERVICIO INDEPENDIENTE"/>
    <s v="POLVO DETERGENTE"/>
    <s v="ZAMBRANO MOLINA JORGE EDUARDOPOLVO DETERGENTE"/>
    <n v="1112"/>
    <n v="1112"/>
    <n v="1112"/>
    <n v="3336"/>
    <n v="4.4999999999999998E-2"/>
    <n v="150.12"/>
    <n v="165.13200000000001"/>
    <n v="0"/>
    <n v="984.23599999999999"/>
    <n v="2344.4312"/>
    <m/>
    <n v="3328.6671999999999"/>
    <n v="0.99780191846522781"/>
  </r>
  <r>
    <x v="0"/>
    <x v="2"/>
    <s v="AUTOSERVICIO INDEPENDIENTE"/>
    <s v="OTRAS CATEGORIAS"/>
    <s v="ZAMBRANO MOLINA JORGE EDUARDOOTRAS CATEGORIAS"/>
    <n v="10"/>
    <n v="10"/>
    <n v="10"/>
    <n v="30"/>
    <m/>
    <n v="0"/>
    <n v="0"/>
    <m/>
    <m/>
    <n v="12"/>
    <m/>
    <n v="12"/>
    <n v="0.4"/>
  </r>
  <r>
    <x v="0"/>
    <x v="3"/>
    <s v="AUTOSERVICIO INDEPENDIENTE"/>
    <s v="BARRA"/>
    <s v="ZAMBRANO MACIAS FRANCISCO GREGORIOBARRA"/>
    <n v="1500"/>
    <n v="1500"/>
    <n v="1500"/>
    <n v="4500"/>
    <n v="1.4999999999999999E-2"/>
    <n v="67.5"/>
    <n v="74.25"/>
    <n v="280.8"/>
    <n v="1261.5295999999998"/>
    <n v="3486.2112000000002"/>
    <m/>
    <n v="5028.5407999999998"/>
    <n v="1.117453511111111"/>
  </r>
  <r>
    <x v="0"/>
    <x v="3"/>
    <s v="AUTOSERVICIO INDEPENDIENTE"/>
    <s v="CREMA"/>
    <s v="ZAMBRANO MACIAS FRANCISCO GREGORIOCREMA"/>
    <n v="2497.64"/>
    <n v="2497.64"/>
    <n v="2497.64"/>
    <n v="7492.92"/>
    <n v="3.5000000000000003E-2"/>
    <n v="262.25220000000002"/>
    <n v="288.47742000000005"/>
    <n v="0"/>
    <n v="2807.5824000000002"/>
    <n v="4784.3952000000008"/>
    <m/>
    <n v="7591.9776000000011"/>
    <n v="1.0132201598308805"/>
  </r>
  <r>
    <x v="0"/>
    <x v="3"/>
    <s v="AUTOSERVICIO INDEPENDIENTE"/>
    <s v="LIQUIDO"/>
    <s v="ZAMBRANO MACIAS FRANCISCO GREGORIOLIQUIDO"/>
    <n v="442"/>
    <n v="442"/>
    <n v="442"/>
    <n v="1326"/>
    <n v="1.4999999999999999E-2"/>
    <n v="19.89"/>
    <n v="21.879000000000001"/>
    <n v="0"/>
    <n v="478.875"/>
    <n v="476.39819999999997"/>
    <m/>
    <n v="955.27319999999997"/>
    <n v="0.72041719457013575"/>
  </r>
  <r>
    <x v="0"/>
    <x v="3"/>
    <s v="AUTOSERVICIO INDEPENDIENTE"/>
    <s v="POLVO DETERGENTE"/>
    <s v="ZAMBRANO MACIAS FRANCISCO GREGORIOPOLVO DETERGENTE"/>
    <n v="4700"/>
    <n v="4700"/>
    <n v="4700"/>
    <n v="14100"/>
    <n v="4.4999999999999998E-2"/>
    <n v="634.5"/>
    <n v="697.95"/>
    <n v="0"/>
    <n v="4295.4720000000007"/>
    <n v="9994.5199999999986"/>
    <m/>
    <n v="14289.991999999998"/>
    <n v="1.0134746099290779"/>
  </r>
  <r>
    <x v="0"/>
    <x v="3"/>
    <s v="AUTOSERVICIO INDEPENDIENTE"/>
    <s v="OTRAS CATEGORIAS"/>
    <s v="ZAMBRANO MACIAS FRANCISCO GREGORIOOTRAS CATEGORIAS"/>
    <n v="20"/>
    <n v="20"/>
    <n v="20"/>
    <n v="60"/>
    <m/>
    <n v="0"/>
    <n v="0"/>
    <n v="0"/>
    <n v="0"/>
    <n v="0"/>
    <m/>
    <n v="0"/>
    <n v="0"/>
  </r>
  <r>
    <x v="1"/>
    <x v="4"/>
    <s v="AUTOSERVICIO INDEPENDIENTE"/>
    <s v="BARRA"/>
    <s v="YUCAILLA PADILLA RENE WILFRIDOBARRA"/>
    <n v="15"/>
    <n v="15"/>
    <n v="15"/>
    <n v="45"/>
    <n v="1.4999999999999999E-2"/>
    <n v="0.67499999999999993"/>
    <n v="0.74250000000000005"/>
    <n v="0"/>
    <n v="0"/>
    <n v="0"/>
    <m/>
    <n v="0"/>
    <n v="0"/>
  </r>
  <r>
    <x v="1"/>
    <x v="4"/>
    <s v="AUTOSERVICIO INDEPENDIENTE"/>
    <s v="CREMA"/>
    <s v="YUCAILLA PADILLA RENE WILFRIDOCREMA"/>
    <n v="1611"/>
    <n v="1611"/>
    <n v="1611"/>
    <n v="4833"/>
    <n v="0.04"/>
    <n v="193.32"/>
    <n v="212.65200000000002"/>
    <n v="0"/>
    <n v="0"/>
    <n v="5238.8112000000001"/>
    <m/>
    <n v="5238.8112000000001"/>
    <n v="1.0839667287399131"/>
  </r>
  <r>
    <x v="1"/>
    <x v="4"/>
    <s v="AUTOSERVICIO INDEPENDIENTE"/>
    <s v="LIQUIDO"/>
    <s v="YUCAILLA PADILLA RENE WILFRIDOLIQUIDO"/>
    <n v="15"/>
    <n v="15"/>
    <n v="15"/>
    <n v="45"/>
    <n v="1.4999999999999999E-2"/>
    <n v="0.67499999999999993"/>
    <n v="0.74250000000000005"/>
    <n v="0"/>
    <n v="0"/>
    <n v="259.77600000000001"/>
    <m/>
    <n v="259.77600000000001"/>
    <n v="5.7728000000000002"/>
  </r>
  <r>
    <x v="1"/>
    <x v="4"/>
    <s v="AUTOSERVICIO INDEPENDIENTE"/>
    <s v="POLVO DETERGENTE"/>
    <s v="YUCAILLA PADILLA RENE WILFRIDOPOLVO DETERGENTE"/>
    <n v="427"/>
    <n v="427"/>
    <n v="427"/>
    <n v="1281"/>
    <n v="0.04"/>
    <n v="51.24"/>
    <n v="56.364000000000004"/>
    <n v="0"/>
    <n v="0"/>
    <n v="1674.0864000000001"/>
    <m/>
    <n v="1674.0864000000001"/>
    <n v="1.3068590163934428"/>
  </r>
  <r>
    <x v="1"/>
    <x v="4"/>
    <s v="AUTOSERVICIO INDEPENDIENTE"/>
    <s v="OTRAS CATEGORIAS"/>
    <s v="YUCAILLA PADILLA RENE WILFRIDOOTRAS CATEGORIAS"/>
    <m/>
    <m/>
    <m/>
    <n v="0"/>
    <m/>
    <n v="0"/>
    <n v="0"/>
    <n v="0"/>
    <n v="0"/>
    <n v="0"/>
    <m/>
    <n v="0"/>
    <n v="0"/>
  </r>
  <r>
    <x v="2"/>
    <x v="5"/>
    <s v="MAYORISTA PURO"/>
    <s v="BARRA"/>
    <s v="YANEZ CARDENAS ESTELA ELIZABETHBARRA"/>
    <n v="3585"/>
    <n v="3585"/>
    <n v="3585"/>
    <n v="10755"/>
    <n v="1.4999999999999999E-2"/>
    <n v="161.32499999999999"/>
    <n v="177.45750000000001"/>
    <n v="1196.4287999999999"/>
    <n v="0"/>
    <n v="0"/>
    <m/>
    <n v="1196.4287999999999"/>
    <n v="0.11124396094839609"/>
  </r>
  <r>
    <x v="2"/>
    <x v="5"/>
    <s v="MAYORISTA PURO"/>
    <s v="CREMA"/>
    <s v="YANEZ CARDENAS ESTELA ELIZABETHCREMA"/>
    <n v="637"/>
    <n v="637"/>
    <n v="637"/>
    <n v="1911"/>
    <n v="1.4999999999999999E-2"/>
    <n v="28.664999999999999"/>
    <n v="31.531500000000005"/>
    <n v="0"/>
    <n v="0"/>
    <n v="0"/>
    <m/>
    <n v="0"/>
    <n v="0"/>
  </r>
  <r>
    <x v="2"/>
    <x v="5"/>
    <s v="MAYORISTA PURO"/>
    <s v="LIQUIDO"/>
    <s v="YANEZ CARDENAS ESTELA ELIZABETHLIQUIDO"/>
    <n v="500"/>
    <n v="500"/>
    <n v="500"/>
    <n v="1500"/>
    <n v="1.4999999999999999E-2"/>
    <n v="22.5"/>
    <n v="24.750000000000004"/>
    <n v="0"/>
    <n v="0"/>
    <n v="0"/>
    <m/>
    <n v="0"/>
    <n v="0"/>
  </r>
  <r>
    <x v="2"/>
    <x v="5"/>
    <s v="MAYORISTA PURO"/>
    <s v="POLVO DETERGENTE"/>
    <s v="YANEZ CARDENAS ESTELA ELIZABETHPOLVO DETERGENTE"/>
    <n v="5493"/>
    <n v="5493"/>
    <n v="5493"/>
    <n v="16479"/>
    <n v="1.4999999999999999E-2"/>
    <n v="247.185"/>
    <n v="271.90350000000001"/>
    <n v="8161.1711999999998"/>
    <n v="0"/>
    <n v="26157.600000000002"/>
    <m/>
    <n v="34318.771200000003"/>
    <n v="2.0825760786455492"/>
  </r>
  <r>
    <x v="2"/>
    <x v="5"/>
    <s v="MAYORISTA PURO"/>
    <s v="OTRAS CATEGORIAS"/>
    <s v="YANEZ CARDENAS ESTELA ELIZABETHOTRAS CATEGORIAS"/>
    <n v="60"/>
    <n v="60"/>
    <n v="60"/>
    <n v="180"/>
    <n v="1.4999999999999999E-2"/>
    <n v="2.6999999999999997"/>
    <n v="2.97"/>
    <n v="0"/>
    <n v="0"/>
    <n v="0"/>
    <m/>
    <n v="0"/>
    <n v="0"/>
  </r>
  <r>
    <x v="2"/>
    <x v="6"/>
    <s v="MAYORISTA PURO"/>
    <s v="BARRA"/>
    <s v="YAGUACHI QUISHPI MARIA ELVIRABARRA"/>
    <n v="4600"/>
    <n v="4600"/>
    <n v="4600"/>
    <n v="13800"/>
    <n v="1.4999999999999999E-2"/>
    <n v="207"/>
    <n v="227.70000000000002"/>
    <n v="0"/>
    <n v="3556.8"/>
    <n v="0"/>
    <m/>
    <n v="3556.8"/>
    <n v="0.25773913043478264"/>
  </r>
  <r>
    <x v="2"/>
    <x v="6"/>
    <s v="MAYORISTA PURO"/>
    <s v="CREMA"/>
    <s v="YAGUACHI QUISHPI MARIA ELVIRACREMA"/>
    <n v="1025"/>
    <n v="1025"/>
    <n v="1025"/>
    <n v="3075"/>
    <n v="1.4999999999999999E-2"/>
    <n v="46.125"/>
    <n v="50.737500000000004"/>
    <n v="0"/>
    <n v="433.92"/>
    <n v="0"/>
    <m/>
    <n v="433.92"/>
    <n v="0.14111219512195122"/>
  </r>
  <r>
    <x v="2"/>
    <x v="6"/>
    <s v="MAYORISTA PURO"/>
    <s v="LIQUIDO"/>
    <s v="YAGUACHI QUISHPI MARIA ELVIRALIQUIDO"/>
    <n v="250"/>
    <n v="250"/>
    <n v="250"/>
    <n v="750"/>
    <n v="1.4999999999999999E-2"/>
    <n v="11.25"/>
    <n v="12.375000000000002"/>
    <n v="0"/>
    <n v="0"/>
    <n v="0"/>
    <m/>
    <n v="0"/>
    <n v="0"/>
  </r>
  <r>
    <x v="2"/>
    <x v="6"/>
    <s v="MAYORISTA PURO"/>
    <s v="POLVO DETERGENTE"/>
    <s v="YAGUACHI QUISHPI MARIA ELVIRAPOLVO DETERGENTE"/>
    <n v="6400"/>
    <n v="6400"/>
    <n v="6400"/>
    <n v="19200"/>
    <n v="1.4999999999999999E-2"/>
    <n v="288"/>
    <n v="316.8"/>
    <n v="0"/>
    <n v="11180.816800000001"/>
    <n v="0"/>
    <m/>
    <n v="11180.816800000001"/>
    <n v="0.58233420833333338"/>
  </r>
  <r>
    <x v="2"/>
    <x v="6"/>
    <s v="MAYORISTA PURO"/>
    <s v="OTRAS CATEGORIAS"/>
    <s v="YAGUACHI QUISHPI MARIA ELVIRAOTRAS CATEGORIAS"/>
    <n v="60"/>
    <n v="60"/>
    <n v="60"/>
    <n v="180"/>
    <n v="1.4999999999999999E-2"/>
    <n v="2.6999999999999997"/>
    <n v="2.97"/>
    <n v="0"/>
    <n v="0"/>
    <n v="0"/>
    <m/>
    <n v="0"/>
    <n v="0"/>
  </r>
  <r>
    <x v="0"/>
    <x v="7"/>
    <s v="AUTOSERVICIO INDEPENDIENTE"/>
    <s v="BARRA"/>
    <s v="WANG CHONG LONGBARRA"/>
    <n v="953.36"/>
    <n v="953.36"/>
    <n v="953.36"/>
    <n v="2860.08"/>
    <n v="1.4999999999999999E-2"/>
    <n v="42.901199999999996"/>
    <n v="47.191320000000005"/>
    <n v="0"/>
    <n v="0"/>
    <n v="0"/>
    <m/>
    <n v="0"/>
    <n v="0"/>
  </r>
  <r>
    <x v="0"/>
    <x v="7"/>
    <s v="AUTOSERVICIO INDEPENDIENTE"/>
    <s v="CREMA"/>
    <s v="WANG CHONG LONGCREMA"/>
    <n v="1632.3400000000001"/>
    <n v="1632.3400000000001"/>
    <n v="1632.3400000000001"/>
    <n v="4897.0200000000004"/>
    <n v="3.5000000000000003E-2"/>
    <n v="171.39570000000003"/>
    <n v="188.53527000000005"/>
    <n v="2462.1888000000004"/>
    <n v="1457.1791999999998"/>
    <n v="0"/>
    <m/>
    <n v="3919.3680000000004"/>
    <n v="0.80035776860212948"/>
  </r>
  <r>
    <x v="0"/>
    <x v="7"/>
    <s v="AUTOSERVICIO INDEPENDIENTE"/>
    <s v="LIQUIDO"/>
    <s v="WANG CHONG LONGLIQUIDO"/>
    <n v="374"/>
    <n v="374"/>
    <n v="374"/>
    <n v="1122"/>
    <n v="1.4999999999999999E-2"/>
    <n v="16.829999999999998"/>
    <n v="18.513000000000002"/>
    <n v="489.2448"/>
    <n v="974.16"/>
    <n v="471.39839999999998"/>
    <m/>
    <n v="1934.8032000000001"/>
    <n v="1.7244235294117647"/>
  </r>
  <r>
    <x v="0"/>
    <x v="7"/>
    <s v="AUTOSERVICIO INDEPENDIENTE"/>
    <s v="POLVO DETERGENTE"/>
    <s v="WANG CHONG LONGPOLVO DETERGENTE"/>
    <n v="1764.9399999999998"/>
    <n v="1764.9399999999998"/>
    <n v="1764.9399999999998"/>
    <n v="5294.82"/>
    <n v="4.4999999999999998E-2"/>
    <n v="238.26689999999996"/>
    <n v="262.09359000000001"/>
    <n v="0"/>
    <n v="2838.2560000000003"/>
    <n v="0"/>
    <m/>
    <n v="2838.2560000000003"/>
    <n v="0.53604390706388516"/>
  </r>
  <r>
    <x v="0"/>
    <x v="7"/>
    <s v="AUTOSERVICIO INDEPENDIENTE"/>
    <s v="OTRAS CATEGORIAS"/>
    <s v="WANG CHONG LONGOTRAS CATEGORIAS"/>
    <n v="20"/>
    <n v="20"/>
    <n v="20"/>
    <n v="60"/>
    <m/>
    <n v="0"/>
    <n v="0"/>
    <n v="0"/>
    <n v="0"/>
    <n v="0"/>
    <m/>
    <n v="0"/>
    <n v="0"/>
  </r>
  <r>
    <x v="0"/>
    <x v="8"/>
    <s v="AUTOSERVICIO INDEPENDIENTE"/>
    <s v="BARRA"/>
    <s v="URETA MENDOZA YIMMY ANTONIOBARRA"/>
    <n v="1450"/>
    <n v="1450"/>
    <n v="1450"/>
    <n v="4350"/>
    <n v="1.4999999999999999E-2"/>
    <n v="65.25"/>
    <n v="71.774999999999991"/>
    <n v="2547.1327999999999"/>
    <n v="1293.4272000000001"/>
    <n v="1666.8159999999998"/>
    <m/>
    <n v="5507.3760000000002"/>
    <n v="1.2660634482758621"/>
  </r>
  <r>
    <x v="0"/>
    <x v="8"/>
    <s v="AUTOSERVICIO INDEPENDIENTE"/>
    <s v="CREMA"/>
    <s v="URETA MENDOZA YIMMY ANTONIOCREMA"/>
    <n v="3000"/>
    <n v="3000"/>
    <n v="3000"/>
    <n v="9000"/>
    <n v="3.5000000000000003E-2"/>
    <n v="315.00000000000006"/>
    <n v="346.50000000000006"/>
    <n v="4323.4944000000005"/>
    <n v="4974.3408000000018"/>
    <n v="3227.2848000000004"/>
    <m/>
    <n v="12525.120000000003"/>
    <n v="1.3916800000000003"/>
  </r>
  <r>
    <x v="0"/>
    <x v="8"/>
    <s v="AUTOSERVICIO INDEPENDIENTE"/>
    <s v="LIQUIDO"/>
    <s v="URETA MENDOZA YIMMY ANTONIOLIQUIDO"/>
    <n v="466"/>
    <n v="466"/>
    <n v="466"/>
    <n v="1398"/>
    <n v="1.4999999999999999E-2"/>
    <n v="20.97"/>
    <n v="23.067"/>
    <n v="1170.6336000000001"/>
    <n v="487.08000000000004"/>
    <n v="808.2"/>
    <m/>
    <n v="2465.9135999999999"/>
    <n v="1.7638866952789698"/>
  </r>
  <r>
    <x v="0"/>
    <x v="8"/>
    <s v="AUTOSERVICIO INDEPENDIENTE"/>
    <s v="POLVO DETERGENTE"/>
    <s v="URETA MENDOZA YIMMY ANTONIOPOLVO DETERGENTE"/>
    <n v="3000"/>
    <n v="3000"/>
    <n v="3000"/>
    <n v="9000"/>
    <n v="4.4999999999999998E-2"/>
    <n v="405"/>
    <n v="445.5"/>
    <n v="742.72000000000014"/>
    <n v="3991.8464000000004"/>
    <n v="3097.6704"/>
    <m/>
    <n v="7832.2368000000006"/>
    <n v="0.87024853333333341"/>
  </r>
  <r>
    <x v="0"/>
    <x v="8"/>
    <s v="AUTOSERVICIO INDEPENDIENTE"/>
    <s v="OTRAS CATEGORIAS"/>
    <s v="URETA MENDOZA YIMMY ANTONIOOTRAS CATEGORIAS"/>
    <n v="15"/>
    <n v="15"/>
    <n v="15"/>
    <n v="45"/>
    <m/>
    <n v="0"/>
    <n v="0"/>
    <n v="47.015999999999998"/>
    <n v="0"/>
    <n v="0"/>
    <m/>
    <n v="47.015999999999998"/>
    <n v="1.0448"/>
  </r>
  <r>
    <x v="0"/>
    <x v="9"/>
    <s v="AUTOSERVICIO INDEPENDIENTE"/>
    <s v="BARRA"/>
    <s v="ROBERT - PONCE COMPANY S.A.SBARRA"/>
    <n v="855.1"/>
    <n v="855.1"/>
    <n v="855.1"/>
    <n v="2565.3000000000002"/>
    <n v="1.4999999999999999E-2"/>
    <n v="38.479500000000002"/>
    <n v="42.327450000000006"/>
    <n v="0"/>
    <n v="1560.0672000000002"/>
    <n v="534.12"/>
    <m/>
    <n v="2094.1872000000003"/>
    <n v="0.81635177172260565"/>
  </r>
  <r>
    <x v="0"/>
    <x v="9"/>
    <s v="AUTOSERVICIO INDEPENDIENTE"/>
    <s v="CREMA"/>
    <s v="ROBERT - PONCE COMPANY S.A.SCREMA"/>
    <n v="1300"/>
    <n v="1300"/>
    <n v="1300"/>
    <n v="3900"/>
    <n v="3.5000000000000003E-2"/>
    <n v="136.5"/>
    <n v="150.15"/>
    <n v="0"/>
    <n v="3371.1821999999997"/>
    <n v="108.48"/>
    <m/>
    <n v="3479.6621999999998"/>
    <n v="0.89222107692307684"/>
  </r>
  <r>
    <x v="0"/>
    <x v="9"/>
    <s v="AUTOSERVICIO INDEPENDIENTE"/>
    <s v="LIQUIDO"/>
    <s v="ROBERT - PONCE COMPANY S.A.SLIQUIDO"/>
    <n v="400"/>
    <n v="400"/>
    <n v="400"/>
    <n v="1200"/>
    <n v="1.4999999999999999E-2"/>
    <n v="18"/>
    <n v="19.8"/>
    <n v="0"/>
    <n v="0"/>
    <n v="649.44000000000005"/>
    <m/>
    <n v="649.44000000000005"/>
    <n v="0.54120000000000001"/>
  </r>
  <r>
    <x v="0"/>
    <x v="9"/>
    <s v="AUTOSERVICIO INDEPENDIENTE"/>
    <s v="POLVO DETERGENTE"/>
    <s v="ROBERT - PONCE COMPANY S.A.SPOLVO DETERGENTE"/>
    <n v="1200"/>
    <n v="1200"/>
    <n v="1200"/>
    <n v="3600"/>
    <n v="4.4999999999999998E-2"/>
    <n v="162"/>
    <n v="178.20000000000002"/>
    <n v="0"/>
    <n v="2604.6756"/>
    <n v="0"/>
    <m/>
    <n v="2604.6756"/>
    <n v="0.72352099999999997"/>
  </r>
  <r>
    <x v="0"/>
    <x v="9"/>
    <s v="AUTOSERVICIO INDEPENDIENTE"/>
    <s v="OTRAS CATEGORIAS"/>
    <s v="ROBERT - PONCE COMPANY S.A.SOTRAS CATEGORIAS"/>
    <n v="10"/>
    <n v="10"/>
    <n v="10"/>
    <n v="30"/>
    <m/>
    <n v="0"/>
    <n v="0"/>
    <n v="0"/>
    <n v="0"/>
    <n v="0"/>
    <m/>
    <n v="0"/>
    <n v="0"/>
  </r>
  <r>
    <x v="0"/>
    <x v="10"/>
    <s v="AUTOSERVICIO INDEPENDIENTE"/>
    <s v="BARRA"/>
    <s v="URETA MENDOZA ERMEL RUBENBARRA"/>
    <n v="488.92"/>
    <n v="488.92"/>
    <n v="488.92"/>
    <n v="1466.76"/>
    <n v="1.4999999999999999E-2"/>
    <n v="22.0014"/>
    <n v="24.201540000000001"/>
    <n v="262.02879999999999"/>
    <n v="613.41599999999994"/>
    <n v="535.79999999999995"/>
    <m/>
    <n v="1411.2447999999999"/>
    <n v="0.96215113583681033"/>
  </r>
  <r>
    <x v="0"/>
    <x v="10"/>
    <s v="AUTOSERVICIO INDEPENDIENTE"/>
    <s v="CREMA"/>
    <s v="URETA MENDOZA ERMEL RUBENCREMA"/>
    <n v="535.16"/>
    <n v="535.16"/>
    <n v="535.16"/>
    <n v="1605.48"/>
    <n v="3.5000000000000003E-2"/>
    <n v="56.191800000000008"/>
    <n v="61.810980000000015"/>
    <n v="526.36200000000008"/>
    <n v="787.25400000000025"/>
    <n v="0"/>
    <m/>
    <n v="1313.6160000000004"/>
    <n v="0.81820763883698355"/>
  </r>
  <r>
    <x v="0"/>
    <x v="10"/>
    <s v="AUTOSERVICIO INDEPENDIENTE"/>
    <s v="LIQUIDO"/>
    <s v="URETA MENDOZA ERMEL RUBENLIQUIDO"/>
    <n v="100"/>
    <n v="100"/>
    <n v="100"/>
    <n v="300"/>
    <n v="1.4999999999999999E-2"/>
    <n v="4.5"/>
    <n v="4.95"/>
    <n v="8.7216000000000005"/>
    <n v="34.886400000000002"/>
    <n v="0"/>
    <m/>
    <n v="43.608000000000004"/>
    <n v="0.14536000000000002"/>
  </r>
  <r>
    <x v="0"/>
    <x v="10"/>
    <s v="AUTOSERVICIO INDEPENDIENTE"/>
    <s v="POLVO DETERGENTE"/>
    <s v="URETA MENDOZA ERMEL RUBENPOLVO DETERGENTE"/>
    <n v="698"/>
    <n v="698"/>
    <n v="698"/>
    <n v="2094"/>
    <n v="4.4999999999999998E-2"/>
    <n v="94.22999999999999"/>
    <n v="103.65300000000001"/>
    <n v="132.26400000000001"/>
    <n v="851.97199999999998"/>
    <n v="0"/>
    <m/>
    <n v="984.23599999999999"/>
    <n v="0.47002674307545367"/>
  </r>
  <r>
    <x v="0"/>
    <x v="10"/>
    <s v="AUTOSERVICIO INDEPENDIENTE"/>
    <s v="OTRAS CATEGORIAS"/>
    <s v="URETA MENDOZA ERMEL RUBENOTRAS CATEGORIAS"/>
    <n v="10"/>
    <n v="10"/>
    <n v="10"/>
    <n v="30"/>
    <m/>
    <n v="0"/>
    <n v="0"/>
    <n v="0"/>
    <n v="47.015999999999998"/>
    <n v="0"/>
    <m/>
    <n v="47.015999999999998"/>
    <n v="1.5671999999999999"/>
  </r>
  <r>
    <x v="2"/>
    <x v="11"/>
    <s v="MAYORISTA PURO"/>
    <s v="BARRA"/>
    <s v="TOALOMBO LLACA ROSA ISABELBARRA"/>
    <n v="3400"/>
    <n v="3400"/>
    <n v="3400"/>
    <n v="10200"/>
    <n v="1.4999999999999999E-2"/>
    <n v="153"/>
    <n v="168.29999999999998"/>
    <n v="0"/>
    <n v="3459.1103999999996"/>
    <n v="1652.2367999999999"/>
    <m/>
    <n v="5111.3471999999992"/>
    <n v="0.50111247058823527"/>
  </r>
  <r>
    <x v="2"/>
    <x v="11"/>
    <s v="MAYORISTA PURO"/>
    <s v="CREMA"/>
    <s v="TOALOMBO LLACA ROSA ISABELCREMA"/>
    <n v="542"/>
    <n v="542"/>
    <n v="542"/>
    <n v="1626"/>
    <n v="1.4999999999999999E-2"/>
    <n v="24.39"/>
    <n v="26.829000000000001"/>
    <n v="0"/>
    <n v="829.596"/>
    <n v="844.12440000000015"/>
    <m/>
    <n v="1673.7204000000002"/>
    <n v="1.0293483394833949"/>
  </r>
  <r>
    <x v="2"/>
    <x v="11"/>
    <s v="MAYORISTA PURO"/>
    <s v="LIQUIDO"/>
    <s v="TOALOMBO LLACA ROSA ISABELLIQUIDO"/>
    <n v="40"/>
    <n v="40"/>
    <n v="40"/>
    <n v="120"/>
    <n v="1.4999999999999999E-2"/>
    <n v="1.7999999999999998"/>
    <n v="1.98"/>
    <n v="0"/>
    <n v="0"/>
    <n v="0"/>
    <m/>
    <n v="0"/>
    <n v="0"/>
  </r>
  <r>
    <x v="2"/>
    <x v="11"/>
    <s v="MAYORISTA PURO"/>
    <s v="POLVO DETERGENTE"/>
    <s v="TOALOMBO LLACA ROSA ISABELPOLVO DETERGENTE"/>
    <n v="2105"/>
    <n v="2105"/>
    <n v="2105"/>
    <n v="6315"/>
    <n v="1.4999999999999999E-2"/>
    <n v="94.724999999999994"/>
    <n v="104.19750000000001"/>
    <n v="5238.6048000000001"/>
    <n v="529.05600000000004"/>
    <n v="3566.88"/>
    <m/>
    <n v="9334.5407999999989"/>
    <n v="1.4781537292161517"/>
  </r>
  <r>
    <x v="2"/>
    <x v="11"/>
    <s v="MAYORISTA PURO"/>
    <s v="OTRAS CATEGORIAS"/>
    <s v="TOALOMBO LLACA ROSA ISABELOTRAS CATEGORIAS"/>
    <n v="20"/>
    <n v="20"/>
    <n v="20"/>
    <n v="60"/>
    <n v="1.4999999999999999E-2"/>
    <n v="0.89999999999999991"/>
    <n v="0.99"/>
    <n v="0"/>
    <n v="0"/>
    <n v="0"/>
    <m/>
    <n v="0"/>
    <n v="0"/>
  </r>
  <r>
    <x v="3"/>
    <x v="12"/>
    <s v="AUTOSERVICIO INDEPENDIENTE"/>
    <s v="BARRA"/>
    <s v="SOCIEDAD CIVIL MARCSOL Y CIABARRA"/>
    <n v="3615.06"/>
    <n v="3615.06"/>
    <n v="3615.06"/>
    <n v="10845.18"/>
    <n v="1.4999999999999999E-2"/>
    <n v="162.67769999999999"/>
    <n v="178.94547000000003"/>
    <n v="4387.8296"/>
    <n v="5745.148000000001"/>
    <n v="3243.0428000000006"/>
    <m/>
    <n v="13376.020400000003"/>
    <n v="1.2333608478605245"/>
  </r>
  <r>
    <x v="3"/>
    <x v="12"/>
    <s v="AUTOSERVICIO INDEPENDIENTE"/>
    <s v="CREMA"/>
    <s v="SOCIEDAD CIVIL MARCSOL Y CIACREMA"/>
    <n v="3277.37"/>
    <n v="3277.37"/>
    <n v="3277.37"/>
    <n v="9832.11"/>
    <n v="3.5000000000000003E-2"/>
    <n v="344.12385000000006"/>
    <n v="378.53623500000009"/>
    <n v="3880.9674000000005"/>
    <n v="3648.6426000000001"/>
    <n v="3317.8941000000009"/>
    <m/>
    <n v="10847.504100000002"/>
    <n v="1.1032732648434569"/>
  </r>
  <r>
    <x v="3"/>
    <x v="12"/>
    <s v="AUTOSERVICIO INDEPENDIENTE"/>
    <s v="LIQUIDO"/>
    <s v="SOCIEDAD CIVIL MARCSOL Y CIALIQUIDO"/>
    <n v="863.87"/>
    <n v="863.87"/>
    <n v="863.87"/>
    <n v="2591.61"/>
    <n v="1.4999999999999999E-2"/>
    <n v="38.87415"/>
    <n v="42.761565000000004"/>
    <n v="1782.3519999999999"/>
    <n v="1171.4064000000001"/>
    <n v="940.94080000000008"/>
    <m/>
    <n v="3894.6992"/>
    <n v="1.5028106852497096"/>
  </r>
  <r>
    <x v="3"/>
    <x v="12"/>
    <s v="AUTOSERVICIO INDEPENDIENTE"/>
    <s v="POLVO DETERGENTE"/>
    <s v="SOCIEDAD CIVIL MARCSOL Y CIAPOLVO DETERGENTE"/>
    <n v="10083.799999999999"/>
    <n v="10083.799999999999"/>
    <n v="10083.799999999999"/>
    <n v="30251.399999999998"/>
    <n v="4.4999999999999998E-2"/>
    <n v="1361.3129999999999"/>
    <n v="1497.4442999999999"/>
    <n v="23332.965600000003"/>
    <n v="733.61360000000002"/>
    <n v="4189.0504000000001"/>
    <m/>
    <n v="28255.629600000004"/>
    <n v="0.93402717229615839"/>
  </r>
  <r>
    <x v="3"/>
    <x v="12"/>
    <s v="AUTOSERVICIO INDEPENDIENTE"/>
    <s v="OTRAS CATEGORIAS"/>
    <s v="SOCIEDAD CIVIL MARCSOL Y CIAOTRAS CATEGORIAS"/>
    <m/>
    <m/>
    <m/>
    <n v="0"/>
    <m/>
    <n v="0"/>
    <n v="0"/>
    <n v="0"/>
    <n v="0"/>
    <n v="0"/>
    <m/>
    <n v="0"/>
    <n v="0"/>
  </r>
  <r>
    <x v="2"/>
    <x v="13"/>
    <s v="MAYORISTA PURO"/>
    <s v="BARRA"/>
    <s v="SARANGO PAREDES YERMAN ANIVALBARRA"/>
    <n v="2614"/>
    <n v="2614"/>
    <n v="2614"/>
    <n v="7842"/>
    <n v="1.4999999999999999E-2"/>
    <n v="117.63"/>
    <n v="129.393"/>
    <n v="4655.5391999999993"/>
    <n v="0"/>
    <n v="0"/>
    <m/>
    <n v="4655.5391999999993"/>
    <n v="0.59366732976281555"/>
  </r>
  <r>
    <x v="2"/>
    <x v="13"/>
    <s v="MAYORISTA PURO"/>
    <s v="CREMA"/>
    <s v="SARANGO PAREDES YERMAN ANIVALCREMA"/>
    <n v="696"/>
    <n v="696"/>
    <n v="696"/>
    <n v="2088"/>
    <n v="1.4999999999999999E-2"/>
    <n v="31.32"/>
    <n v="34.451999999999998"/>
    <n v="1052.7239999999999"/>
    <n v="0"/>
    <n v="0"/>
    <m/>
    <n v="1052.7239999999999"/>
    <n v="0.50417816091954015"/>
  </r>
  <r>
    <x v="2"/>
    <x v="13"/>
    <s v="MAYORISTA PURO"/>
    <s v="LIQUIDO"/>
    <s v="SARANGO PAREDES YERMAN ANIVALLIQUIDO"/>
    <n v="503"/>
    <n v="503"/>
    <n v="503"/>
    <n v="1509"/>
    <n v="1.4999999999999999E-2"/>
    <n v="22.634999999999998"/>
    <n v="24.898500000000002"/>
    <n v="0"/>
    <n v="0"/>
    <n v="0"/>
    <m/>
    <n v="0"/>
    <n v="0"/>
  </r>
  <r>
    <x v="2"/>
    <x v="13"/>
    <s v="MAYORISTA PURO"/>
    <s v="POLVO DETERGENTE"/>
    <s v="SARANGO PAREDES YERMAN ANIVALPOLVO DETERGENTE"/>
    <n v="5910"/>
    <n v="5910"/>
    <n v="5910"/>
    <n v="17730"/>
    <n v="1.4999999999999999E-2"/>
    <n v="265.95"/>
    <n v="292.54500000000002"/>
    <n v="8161.1711999999998"/>
    <n v="0"/>
    <n v="0"/>
    <m/>
    <n v="8161.1711999999998"/>
    <n v="0.46030294416243656"/>
  </r>
  <r>
    <x v="2"/>
    <x v="13"/>
    <s v="MAYORISTA PURO"/>
    <s v="OTRAS CATEGORIAS"/>
    <s v="SARANGO PAREDES YERMAN ANIVALOTRAS CATEGORIAS"/>
    <n v="61"/>
    <n v="61"/>
    <n v="61"/>
    <n v="183"/>
    <n v="1.4999999999999999E-2"/>
    <n v="2.7450000000000001"/>
    <n v="3.0194999999999999"/>
    <n v="0"/>
    <n v="0"/>
    <n v="0"/>
    <m/>
    <n v="0"/>
    <n v="0"/>
  </r>
  <r>
    <x v="3"/>
    <x v="14"/>
    <s v="AUTOSERVICIO INDEPENDIENTE"/>
    <s v="BARRA"/>
    <s v="GALLARDO BUSTILLOS GENESIS ESTEFANIABARRA"/>
    <n v="4078.9"/>
    <n v="4078.9"/>
    <n v="4078.9"/>
    <n v="12236.7"/>
    <n v="1.4999999999999999E-2"/>
    <n v="183.5505"/>
    <n v="201.90555000000003"/>
    <n v="3355.3679999999999"/>
    <n v="1265.2511999999999"/>
    <n v="981.46559999999999"/>
    <m/>
    <n v="5602.0848000000005"/>
    <n v="0.45781009585917776"/>
  </r>
  <r>
    <x v="3"/>
    <x v="14"/>
    <s v="AUTOSERVICIO INDEPENDIENTE"/>
    <s v="CREMA"/>
    <s v="GALLARDO BUSTILLOS GENESIS ESTEFANIACREMA"/>
    <n v="6449.22"/>
    <n v="6449.22"/>
    <n v="6449.22"/>
    <n v="19347.66"/>
    <n v="3.5000000000000003E-2"/>
    <n v="677.16810000000009"/>
    <n v="744.88491000000022"/>
    <n v="4979.5446000000002"/>
    <n v="3778.8191999999999"/>
    <n v="1593.2927999999997"/>
    <m/>
    <n v="10351.656599999998"/>
    <n v="0.53503403512362724"/>
  </r>
  <r>
    <x v="3"/>
    <x v="14"/>
    <s v="AUTOSERVICIO INDEPENDIENTE"/>
    <s v="LIQUIDO"/>
    <s v="GALLARDO BUSTILLOS GENESIS ESTEFANIALIQUIDO"/>
    <n v="225.24"/>
    <n v="225.24"/>
    <n v="225.24"/>
    <n v="675.72"/>
    <n v="1.4999999999999999E-2"/>
    <n v="10.1358"/>
    <n v="11.149380000000003"/>
    <n v="490.42399999999998"/>
    <n v="0"/>
    <n v="99.088000000000008"/>
    <m/>
    <n v="589.51199999999994"/>
    <n v="0.8724205292132835"/>
  </r>
  <r>
    <x v="3"/>
    <x v="14"/>
    <s v="AUTOSERVICIO INDEPENDIENTE"/>
    <s v="POLVO DETERGENTE"/>
    <s v="GALLARDO BUSTILLOS GENESIS ESTEFANIAPOLVO DETERGENTE"/>
    <n v="7305.8"/>
    <n v="7305.8"/>
    <n v="7305.8"/>
    <n v="21917.4"/>
    <n v="4.4999999999999998E-2"/>
    <n v="986.28300000000002"/>
    <n v="1084.9113000000002"/>
    <n v="13773.4944"/>
    <n v="0"/>
    <n v="2372.3103999999998"/>
    <m/>
    <n v="16145.8048"/>
    <n v="0.73666606440544946"/>
  </r>
  <r>
    <x v="3"/>
    <x v="14"/>
    <s v="AUTOSERVICIO INDEPENDIENTE"/>
    <s v="OTRAS CATEGORIAS"/>
    <s v="GALLARDO BUSTILLOS GENESIS ESTEFANIAOTRAS CATEGORIAS"/>
    <n v="0"/>
    <n v="0"/>
    <n v="0"/>
    <n v="0"/>
    <m/>
    <n v="0"/>
    <n v="0"/>
    <n v="0"/>
    <n v="0"/>
    <n v="0"/>
    <m/>
    <m/>
    <n v="0"/>
  </r>
  <r>
    <x v="3"/>
    <x v="15"/>
    <s v="AUTOSERVICIO INDEPENDIENTE"/>
    <s v="BARRA"/>
    <s v="SANTANA VERA ALFREDO JOSELITOBARRA"/>
    <n v="607.45000000000005"/>
    <n v="607.45000000000005"/>
    <n v="607.45000000000005"/>
    <n v="1822.3500000000001"/>
    <n v="1.4999999999999999E-2"/>
    <n v="27.335250000000002"/>
    <n v="30.068775000000002"/>
    <n v="984.73400000000004"/>
    <n v="0"/>
    <n v="1657.1100000000004"/>
    <m/>
    <n v="2641.8440000000005"/>
    <n v="1.44969078387796"/>
  </r>
  <r>
    <x v="3"/>
    <x v="15"/>
    <s v="AUTOSERVICIO INDEPENDIENTE"/>
    <s v="CREMA"/>
    <s v="SANTANA VERA ALFREDO JOSELITOCREMA"/>
    <n v="1501.25"/>
    <n v="1501.25"/>
    <n v="1501.25"/>
    <n v="4503.75"/>
    <n v="3.5000000000000003E-2"/>
    <n v="157.63125000000002"/>
    <n v="173.39437500000003"/>
    <n v="1640.2331999999997"/>
    <n v="0"/>
    <n v="2814.8429999999998"/>
    <m/>
    <n v="4455.0761999999995"/>
    <n v="0.98919260616153193"/>
  </r>
  <r>
    <x v="3"/>
    <x v="15"/>
    <s v="AUTOSERVICIO INDEPENDIENTE"/>
    <s v="LIQUIDO"/>
    <s v="SANTANA VERA ALFREDO JOSELITOLIQUIDO"/>
    <n v="399.98"/>
    <n v="399.98"/>
    <n v="399.98"/>
    <n v="1199.94"/>
    <n v="1.4999999999999999E-2"/>
    <n v="17.999099999999999"/>
    <n v="19.799010000000003"/>
    <n v="415.73219999999998"/>
    <n v="0"/>
    <n v="612.19200000000012"/>
    <m/>
    <n v="1027.9242000000002"/>
    <n v="0.85664633231661591"/>
  </r>
  <r>
    <x v="3"/>
    <x v="15"/>
    <s v="AUTOSERVICIO INDEPENDIENTE"/>
    <s v="POLVO DETERGENTE"/>
    <s v="SANTANA VERA ALFREDO JOSELITOPOLVO DETERGENTE"/>
    <n v="2460.61"/>
    <n v="2460.61"/>
    <n v="2460.61"/>
    <n v="7381.83"/>
    <n v="4.4999999999999998E-2"/>
    <n v="332.18234999999999"/>
    <n v="365.40058500000004"/>
    <n v="2097.7840000000001"/>
    <n v="0"/>
    <n v="4261.1319999999996"/>
    <m/>
    <n v="6358.9159999999993"/>
    <n v="0.86142812825545956"/>
  </r>
  <r>
    <x v="3"/>
    <x v="15"/>
    <s v="AUTOSERVICIO INDEPENDIENTE"/>
    <s v="OTRAS CATEGORIAS"/>
    <s v="SANTANA VERA ALFREDO JOSELITOOTRAS CATEGORIAS"/>
    <n v="40.26"/>
    <n v="40.26"/>
    <n v="40.26"/>
    <n v="120.78"/>
    <m/>
    <n v="0"/>
    <n v="0"/>
    <n v="0"/>
    <n v="0"/>
    <n v="0"/>
    <m/>
    <n v="0"/>
    <n v="0"/>
  </r>
  <r>
    <x v="3"/>
    <x v="16"/>
    <s v="AUTOSERVICIO INDEPENDIENTE"/>
    <s v="BARRA"/>
    <s v="SAMANIEGO TANDAZO BLADIMIR FELIX (SUPER SAV)BARRA"/>
    <n v="4058.27"/>
    <n v="4058.27"/>
    <n v="4058.27"/>
    <n v="12174.81"/>
    <n v="1.4999999999999999E-2"/>
    <n v="182.62214999999998"/>
    <n v="200.884365"/>
    <n v="2194.6976"/>
    <n v="3459.3024000000005"/>
    <n v="0"/>
    <m/>
    <n v="5654"/>
    <n v="0.46440149784678364"/>
  </r>
  <r>
    <x v="3"/>
    <x v="16"/>
    <s v="AUTOSERVICIO INDEPENDIENTE"/>
    <s v="CREMA"/>
    <s v="SAMANIEGO TANDAZO BLADIMIR FELIX (SUPER SAV)CREMA"/>
    <n v="4869.22"/>
    <n v="4869.22"/>
    <n v="4869.22"/>
    <n v="14607.66"/>
    <n v="3.5000000000000003E-2"/>
    <n v="511.26810000000006"/>
    <n v="562.3949100000001"/>
    <n v="4409.0285999999996"/>
    <n v="5198.8797000000004"/>
    <n v="2452.3587000000002"/>
    <m/>
    <n v="12060.267"/>
    <n v="0.82561252110194239"/>
  </r>
  <r>
    <x v="3"/>
    <x v="16"/>
    <s v="AUTOSERVICIO INDEPENDIENTE"/>
    <s v="LIQUIDO"/>
    <s v="SAMANIEGO TANDAZO BLADIMIR FELIX (SUPER SAV)LIQUIDO"/>
    <n v="1197.99"/>
    <n v="1197.99"/>
    <n v="1197.99"/>
    <n v="3593.9700000000003"/>
    <n v="1.4999999999999999E-2"/>
    <n v="53.909550000000003"/>
    <n v="59.300505000000008"/>
    <n v="934.1712"/>
    <n v="348.30960000000005"/>
    <n v="1404.72"/>
    <m/>
    <n v="2687.2008000000001"/>
    <n v="0.74769705924089513"/>
  </r>
  <r>
    <x v="3"/>
    <x v="16"/>
    <s v="AUTOSERVICIO INDEPENDIENTE"/>
    <s v="POLVO DETERGENTE"/>
    <s v="SAMANIEGO TANDAZO BLADIMIR FELIX (SUPER SAV)POLVO DETERGENTE"/>
    <n v="6141.92"/>
    <n v="6141.92"/>
    <n v="6141.92"/>
    <n v="18425.760000000002"/>
    <n v="4.4999999999999998E-2"/>
    <n v="829.15920000000006"/>
    <n v="912.07512000000008"/>
    <n v="4361.5691999999999"/>
    <n v="6613.7958000000008"/>
    <n v="0"/>
    <m/>
    <n v="10975.365000000002"/>
    <n v="0.59565331362179907"/>
  </r>
  <r>
    <x v="3"/>
    <x v="16"/>
    <s v="AUTOSERVICIO INDEPENDIENTE"/>
    <s v="OTRAS CATEGORIAS"/>
    <s v="SAMANIEGO TANDAZO BLADIMIR FELIX (SUPER SAV)OTRAS CATEGORIAS"/>
    <m/>
    <m/>
    <m/>
    <n v="0"/>
    <m/>
    <n v="0"/>
    <n v="0"/>
    <n v="0"/>
    <n v="0"/>
    <n v="0"/>
    <m/>
    <n v="0"/>
    <n v="0"/>
  </r>
  <r>
    <x v="2"/>
    <x v="17"/>
    <s v="AUTOSERVICIO INDEPENDIENTE"/>
    <s v="BARRA"/>
    <s v="ROXANA VILLACIS S.A. ROXVILLBARRA"/>
    <n v="8277"/>
    <n v="8277"/>
    <n v="8277"/>
    <n v="24831"/>
    <n v="1.4999999999999999E-2"/>
    <n v="372.46499999999997"/>
    <n v="409.7115"/>
    <n v="6959.0711999999985"/>
    <n v="8296.391999999998"/>
    <n v="8429.4696000000004"/>
    <m/>
    <n v="23684.932799999995"/>
    <n v="0.95384530627038766"/>
  </r>
  <r>
    <x v="2"/>
    <x v="17"/>
    <s v="AUTOSERVICIO INDEPENDIENTE"/>
    <s v="CREMA"/>
    <s v="ROXANA VILLACIS S.A. ROXVILLCREMA"/>
    <n v="3700"/>
    <n v="3700"/>
    <n v="3700"/>
    <n v="11100"/>
    <n v="3.5000000000000003E-2"/>
    <n v="388.50000000000006"/>
    <n v="427.35000000000008"/>
    <n v="3883.6979999999999"/>
    <n v="4822.2936"/>
    <n v="3115.1736000000001"/>
    <m/>
    <n v="11821.165199999999"/>
    <n v="1.0649698378378378"/>
  </r>
  <r>
    <x v="2"/>
    <x v="17"/>
    <s v="AUTOSERVICIO INDEPENDIENTE"/>
    <s v="LIQUIDO"/>
    <s v="ROXANA VILLACIS S.A. ROXVILLLIQUIDO"/>
    <n v="1436"/>
    <n v="1436"/>
    <n v="1436"/>
    <n v="4308"/>
    <n v="1.4999999999999999E-2"/>
    <n v="64.62"/>
    <n v="71.081999999999994"/>
    <n v="1542.4200000000005"/>
    <n v="1542.4200000000005"/>
    <n v="1380.0600000000002"/>
    <m/>
    <n v="4464.9000000000015"/>
    <n v="1.0364206128133708"/>
  </r>
  <r>
    <x v="2"/>
    <x v="17"/>
    <s v="AUTOSERVICIO INDEPENDIENTE"/>
    <s v="POLVO DETERGENTE"/>
    <s v="ROXANA VILLACIS S.A. ROXVILLPOLVO DETERGENTE"/>
    <n v="5582"/>
    <n v="5582"/>
    <n v="5582"/>
    <n v="16746"/>
    <n v="4.4999999999999998E-2"/>
    <n v="753.56999999999994"/>
    <n v="828.92700000000002"/>
    <n v="3861.9776000000002"/>
    <n v="6602.1511999999993"/>
    <n v="4780.9255999999996"/>
    <m/>
    <n v="15245.054399999997"/>
    <n v="0.91036990326047995"/>
  </r>
  <r>
    <x v="2"/>
    <x v="17"/>
    <s v="AUTOSERVICIO INDEPENDIENTE"/>
    <s v="OTRAS CATEGORIAS"/>
    <s v="ROXANA VILLACIS S.A. ROXVILLOTRAS CATEGORIAS"/>
    <n v="61"/>
    <n v="61"/>
    <n v="61"/>
    <n v="183"/>
    <m/>
    <n v="0"/>
    <n v="0"/>
    <n v="0"/>
    <n v="0"/>
    <n v="0"/>
    <m/>
    <n v="0"/>
    <n v="0"/>
  </r>
  <r>
    <x v="3"/>
    <x v="18"/>
    <s v="AUTOSERVICIO INDEPENDIENTE"/>
    <s v="BARRA"/>
    <s v="QUICHIMBO DIAZ CENELIA DEL CISNEBARRA"/>
    <n v="5880.92"/>
    <n v="5880.92"/>
    <n v="5880.92"/>
    <n v="17642.760000000002"/>
    <n v="1.4999999999999999E-2"/>
    <n v="264.64140000000003"/>
    <n v="291.10554000000002"/>
    <n v="1329.9104"/>
    <n v="5417.4047999999993"/>
    <n v="4786.395199999999"/>
    <m/>
    <n v="11533.710399999998"/>
    <n v="0.65373617279836016"/>
  </r>
  <r>
    <x v="3"/>
    <x v="18"/>
    <s v="AUTOSERVICIO INDEPENDIENTE"/>
    <s v="CREMA"/>
    <s v="QUICHIMBO DIAZ CENELIA DEL CISNECREMA"/>
    <n v="11649.86"/>
    <n v="11649.86"/>
    <n v="11649.86"/>
    <n v="34949.58"/>
    <n v="3.5000000000000003E-2"/>
    <n v="1223.2353000000003"/>
    <n v="1345.5588300000004"/>
    <n v="1131.6266999999998"/>
    <n v="11420.858099999985"/>
    <n v="7956.8088000000107"/>
    <m/>
    <n v="20509.293599999994"/>
    <n v="0.58682518073178536"/>
  </r>
  <r>
    <x v="3"/>
    <x v="18"/>
    <s v="AUTOSERVICIO INDEPENDIENTE"/>
    <s v="LIQUIDO"/>
    <s v="QUICHIMBO DIAZ CENELIA DEL CISNELIQUIDO"/>
    <n v="2764.86"/>
    <n v="2764.86"/>
    <n v="2764.86"/>
    <n v="8294.58"/>
    <n v="1.4999999999999999E-2"/>
    <n v="124.4187"/>
    <n v="136.86057"/>
    <n v="590.35599999999999"/>
    <n v="2159.8896000000004"/>
    <n v="1825.4044000000001"/>
    <m/>
    <n v="4575.6500000000005"/>
    <n v="0.55164336229200284"/>
  </r>
  <r>
    <x v="3"/>
    <x v="18"/>
    <s v="AUTOSERVICIO INDEPENDIENTE"/>
    <s v="POLVO DETERGENTE"/>
    <s v="QUICHIMBO DIAZ CENELIA DEL CISNEPOLVO DETERGENTE"/>
    <n v="15523.8"/>
    <n v="15523.8"/>
    <n v="15523.8"/>
    <n v="46571.399999999994"/>
    <n v="4.4999999999999998E-2"/>
    <n v="2095.7129999999997"/>
    <n v="2305.2842999999998"/>
    <n v="632.50559999999996"/>
    <n v="9333.0704000000005"/>
    <n v="7175.3152000000009"/>
    <m/>
    <n v="17140.891200000002"/>
    <n v="0.36805617181360245"/>
  </r>
  <r>
    <x v="3"/>
    <x v="18"/>
    <s v="AUTOSERVICIO INDEPENDIENTE"/>
    <s v="OTRAS CATEGORIAS"/>
    <s v="QUICHIMBO DIAZ CENELIA DEL CISNEOTRAS CATEGORIAS"/>
    <m/>
    <m/>
    <m/>
    <n v="0"/>
    <m/>
    <n v="0"/>
    <n v="0"/>
    <n v="23.507999999999999"/>
    <n v="0"/>
    <n v="0"/>
    <m/>
    <n v="23.507999999999999"/>
    <n v="0"/>
  </r>
  <r>
    <x v="2"/>
    <x v="19"/>
    <s v="MAYORISTA PURO"/>
    <s v="BARRA"/>
    <s v="QUELAL SALDAÑA MERY AZUCENABARRA"/>
    <n v="2087"/>
    <n v="2087"/>
    <n v="2087"/>
    <n v="6261"/>
    <n v="1.4999999999999999E-2"/>
    <n v="93.914999999999992"/>
    <n v="103.3065"/>
    <n v="603.6"/>
    <n v="4175.3663999999999"/>
    <n v="0"/>
    <m/>
    <n v="4778.9664000000002"/>
    <n v="0.76329123143267852"/>
  </r>
  <r>
    <x v="2"/>
    <x v="19"/>
    <s v="MAYORISTA PURO"/>
    <s v="CREMA"/>
    <s v="QUELAL SALDAÑA MERY AZUCENACREMA"/>
    <n v="618"/>
    <n v="618"/>
    <n v="618"/>
    <n v="1854"/>
    <n v="1.4999999999999999E-2"/>
    <n v="27.81"/>
    <n v="30.591000000000001"/>
    <n v="817.0086"/>
    <n v="725.52239999999995"/>
    <n v="0"/>
    <m/>
    <n v="1542.5309999999999"/>
    <n v="0.83200161812297735"/>
  </r>
  <r>
    <x v="2"/>
    <x v="19"/>
    <s v="MAYORISTA PURO"/>
    <s v="LIQUIDO"/>
    <s v="QUELAL SALDAÑA MERY AZUCENALIQUIDO"/>
    <n v="37"/>
    <n v="37"/>
    <n v="37"/>
    <n v="111"/>
    <n v="1.4999999999999999E-2"/>
    <n v="1.665"/>
    <n v="1.8315000000000001"/>
    <n v="0"/>
    <n v="99.830400000000012"/>
    <n v="0"/>
    <m/>
    <n v="99.830400000000012"/>
    <n v="0.89937297297297303"/>
  </r>
  <r>
    <x v="2"/>
    <x v="19"/>
    <s v="MAYORISTA PURO"/>
    <s v="POLVO DETERGENTE"/>
    <s v="QUELAL SALDAÑA MERY AZUCENAPOLVO DETERGENTE"/>
    <n v="1769"/>
    <n v="1769"/>
    <n v="1769"/>
    <n v="5307"/>
    <n v="1.4999999999999999E-2"/>
    <n v="79.605000000000004"/>
    <n v="87.565500000000014"/>
    <n v="2952.0288"/>
    <n v="4874.8487999999998"/>
    <n v="0"/>
    <m/>
    <n v="7826.8775999999998"/>
    <n v="1.4748214810627474"/>
  </r>
  <r>
    <x v="2"/>
    <x v="19"/>
    <s v="MAYORISTA PURO"/>
    <s v="OTRAS CATEGORIAS"/>
    <s v="QUELAL SALDAÑA MERY AZUCENAOTRAS CATEGORIAS"/>
    <n v="60"/>
    <n v="60"/>
    <n v="60"/>
    <n v="180"/>
    <n v="1.4999999999999999E-2"/>
    <n v="2.6999999999999997"/>
    <n v="2.97"/>
    <n v="0"/>
    <n v="0"/>
    <n v="0"/>
    <m/>
    <n v="0"/>
    <n v="0"/>
  </r>
  <r>
    <x v="2"/>
    <x v="20"/>
    <s v="MAYORISTA PURO"/>
    <s v="BARRA"/>
    <s v="QUELAL SALDAÑA MANUEL EDUARDOBARRA"/>
    <n v="1514.0406720000001"/>
    <n v="1514.0406720000001"/>
    <n v="1514.0406720000001"/>
    <n v="4542.1220160000003"/>
    <n v="1.4999999999999999E-2"/>
    <n v="68.131830239999999"/>
    <n v="74.945013264000011"/>
    <n v="2833.7184000000002"/>
    <n v="0"/>
    <n v="3689.3328000000006"/>
    <m/>
    <n v="6523.0512000000008"/>
    <n v="1.436124167739663"/>
  </r>
  <r>
    <x v="2"/>
    <x v="20"/>
    <s v="MAYORISTA PURO"/>
    <s v="CREMA"/>
    <s v="QUELAL SALDAÑA MANUEL EDUARDOCREMA"/>
    <n v="103"/>
    <n v="103"/>
    <n v="103"/>
    <n v="309"/>
    <n v="1.4999999999999999E-2"/>
    <n v="4.6349999999999998"/>
    <n v="5.0985000000000005"/>
    <n v="325.44"/>
    <n v="0"/>
    <n v="925.48860000000013"/>
    <m/>
    <n v="1250.9286000000002"/>
    <n v="4.0483126213592238"/>
  </r>
  <r>
    <x v="2"/>
    <x v="20"/>
    <s v="MAYORISTA PURO"/>
    <s v="LIQUIDO"/>
    <s v="QUELAL SALDAÑA MANUEL EDUARDOLIQUIDO"/>
    <n v="500"/>
    <n v="500"/>
    <n v="500"/>
    <n v="1500"/>
    <n v="1.4999999999999999E-2"/>
    <n v="22.5"/>
    <n v="24.750000000000004"/>
    <n v="0"/>
    <n v="0"/>
    <n v="0"/>
    <m/>
    <n v="0"/>
    <n v="0"/>
  </r>
  <r>
    <x v="2"/>
    <x v="20"/>
    <s v="MAYORISTA PURO"/>
    <s v="POLVO DETERGENTE"/>
    <s v="QUELAL SALDAÑA MANUEL EDUARDOPOLVO DETERGENTE"/>
    <n v="3752"/>
    <n v="3752"/>
    <n v="3752"/>
    <n v="11256"/>
    <n v="1.4999999999999999E-2"/>
    <n v="168.84"/>
    <n v="185.72399999999999"/>
    <n v="5990.6696000000011"/>
    <n v="0"/>
    <n v="6111.1831999999995"/>
    <m/>
    <n v="12101.852800000001"/>
    <n v="1.0751468372423596"/>
  </r>
  <r>
    <x v="2"/>
    <x v="20"/>
    <s v="MAYORISTA PURO"/>
    <s v="OTRAS CATEGORIAS"/>
    <s v="QUELAL SALDAÑA MANUEL EDUARDOOTRAS CATEGORIAS"/>
    <n v="60"/>
    <n v="60"/>
    <n v="60"/>
    <n v="180"/>
    <n v="1.4999999999999999E-2"/>
    <n v="2.6999999999999997"/>
    <n v="2.97"/>
    <n v="0"/>
    <n v="0"/>
    <n v="0"/>
    <m/>
    <n v="0"/>
    <n v="0"/>
  </r>
  <r>
    <x v="0"/>
    <x v="21"/>
    <s v="AUTOSERVICIO INDEPENDIENTE"/>
    <s v="BARRA"/>
    <s v="PIGUAVE BELLO CATTYBARRA"/>
    <n v="640.22"/>
    <n v="640.22"/>
    <n v="640.22"/>
    <n v="1920.66"/>
    <n v="1.4999999999999999E-2"/>
    <n v="28.809899999999999"/>
    <n v="31.69089"/>
    <n v="664.12920000000008"/>
    <n v="456.54999999999995"/>
    <n v="1107.6032"/>
    <m/>
    <n v="2228.2824000000001"/>
    <n v="1.1601649433007404"/>
  </r>
  <r>
    <x v="0"/>
    <x v="21"/>
    <s v="AUTOSERVICIO INDEPENDIENTE"/>
    <s v="CREMA"/>
    <s v="PIGUAVE BELLO CATTYCREMA"/>
    <n v="579.02"/>
    <n v="579.02"/>
    <n v="579.02"/>
    <n v="1737.06"/>
    <n v="3.5000000000000003E-2"/>
    <n v="60.7971"/>
    <n v="66.876810000000006"/>
    <n v="705.76260000000013"/>
    <n v="0"/>
    <n v="1086.3671999999999"/>
    <m/>
    <n v="1792.1298000000002"/>
    <n v="1.0317028772753964"/>
  </r>
  <r>
    <x v="0"/>
    <x v="21"/>
    <s v="AUTOSERVICIO INDEPENDIENTE"/>
    <s v="LIQUIDO"/>
    <s v="PIGUAVE BELLO CATTYLIQUIDO"/>
    <n v="387.59999999999997"/>
    <n v="387.59999999999997"/>
    <n v="387.59999999999997"/>
    <n v="1162.8"/>
    <n v="1.4999999999999999E-2"/>
    <n v="17.442"/>
    <n v="19.186200000000003"/>
    <n v="487.0256"/>
    <n v="162.36000000000001"/>
    <n v="394.49280000000005"/>
    <m/>
    <n v="1043.8784000000001"/>
    <n v="0.89772824217406266"/>
  </r>
  <r>
    <x v="0"/>
    <x v="21"/>
    <s v="AUTOSERVICIO INDEPENDIENTE"/>
    <s v="POLVO DETERGENTE"/>
    <s v="PIGUAVE BELLO CATTYPOLVO DETERGENTE"/>
    <n v="1274.32"/>
    <n v="1274.32"/>
    <n v="1274.32"/>
    <n v="3822.96"/>
    <n v="4.4999999999999998E-2"/>
    <n v="172.03319999999999"/>
    <n v="189.23652000000001"/>
    <n v="1316.172"/>
    <n v="0"/>
    <n v="2429.7200000000003"/>
    <m/>
    <n v="3745.8920000000003"/>
    <n v="0.97984075166886397"/>
  </r>
  <r>
    <x v="0"/>
    <x v="21"/>
    <s v="AUTOSERVICIO INDEPENDIENTE"/>
    <s v="OTRAS CATEGORIAS"/>
    <s v="PIGUAVE BELLO CATTYOTRAS CATEGORIAS"/>
    <m/>
    <m/>
    <m/>
    <n v="0"/>
    <m/>
    <n v="0"/>
    <n v="0"/>
    <n v="11.754"/>
    <n v="0"/>
    <n v="0"/>
    <m/>
    <n v="11.754"/>
    <n v="0"/>
  </r>
  <r>
    <x v="0"/>
    <x v="22"/>
    <s v="AUTOSERVICIO INDEPENDIENTE"/>
    <s v="BARRA"/>
    <s v="PALMA CEDEÑO WALTER ALEJANDROBARRA"/>
    <n v="1900"/>
    <n v="1900"/>
    <n v="1900"/>
    <n v="5700"/>
    <n v="1.4999999999999999E-2"/>
    <n v="85.5"/>
    <n v="94.050000000000011"/>
    <n v="3262.5375999999997"/>
    <n v="1474.4735999999998"/>
    <n v="2088.9344000000001"/>
    <m/>
    <n v="6825.9455999999991"/>
    <n v="1.1975343157894736"/>
  </r>
  <r>
    <x v="0"/>
    <x v="22"/>
    <s v="AUTOSERVICIO INDEPENDIENTE"/>
    <s v="CREMA"/>
    <s v="PALMA CEDEÑO WALTER ALEJANDROCREMA"/>
    <n v="1182.8599999999999"/>
    <n v="1182.8599999999999"/>
    <n v="1182.8599999999999"/>
    <n v="3548.58"/>
    <n v="3.5000000000000003E-2"/>
    <n v="124.20030000000001"/>
    <n v="136.62033000000002"/>
    <n v="2193.6762000000008"/>
    <n v="1182.7248"/>
    <n v="2263.9350000000004"/>
    <m/>
    <n v="5640.3360000000011"/>
    <n v="1.5894628273844753"/>
  </r>
  <r>
    <x v="0"/>
    <x v="22"/>
    <s v="AUTOSERVICIO INDEPENDIENTE"/>
    <s v="LIQUIDO"/>
    <s v="PALMA CEDEÑO WALTER ALEJANDROLIQUIDO"/>
    <n v="1400"/>
    <n v="1400"/>
    <n v="1400"/>
    <n v="4200"/>
    <n v="1.4999999999999999E-2"/>
    <n v="63"/>
    <n v="69.3"/>
    <n v="1409.7440000000001"/>
    <n v="2311.8624"/>
    <n v="1262.6544000000001"/>
    <m/>
    <n v="4984.2608"/>
    <n v="1.186728761904762"/>
  </r>
  <r>
    <x v="0"/>
    <x v="22"/>
    <s v="AUTOSERVICIO INDEPENDIENTE"/>
    <s v="POLVO DETERGENTE"/>
    <s v="PALMA CEDEÑO WALTER ALEJANDROPOLVO DETERGENTE"/>
    <n v="4800"/>
    <n v="4800"/>
    <n v="4800"/>
    <n v="14400"/>
    <n v="4.4999999999999998E-2"/>
    <n v="648"/>
    <n v="712.80000000000007"/>
    <n v="1898.9759999999999"/>
    <n v="5139.5584000000008"/>
    <n v="7186.7839999999997"/>
    <m/>
    <n v="14225.3184"/>
    <n v="0.98786933333333338"/>
  </r>
  <r>
    <x v="0"/>
    <x v="22"/>
    <s v="AUTOSERVICIO INDEPENDIENTE"/>
    <s v="OTRAS CATEGORIAS"/>
    <s v="PALMA CEDEÑO WALTER ALEJANDROOTRAS CATEGORIAS"/>
    <n v="15"/>
    <n v="15"/>
    <n v="15"/>
    <n v="45"/>
    <m/>
    <n v="0"/>
    <n v="0"/>
    <n v="0"/>
    <n v="0"/>
    <n v="70.524000000000001"/>
    <m/>
    <n v="70.524000000000001"/>
    <n v="1.5671999999999999"/>
  </r>
  <r>
    <x v="2"/>
    <x v="23"/>
    <s v="MAYORISTA PURO"/>
    <s v="BARRA"/>
    <s v="ORTEGA GONZALEZ HERMES ADALBERBARRA"/>
    <n v="3964"/>
    <n v="3964"/>
    <n v="3964"/>
    <n v="11892"/>
    <n v="1.4999999999999999E-2"/>
    <n v="178.38"/>
    <n v="196.21800000000002"/>
    <n v="0"/>
    <n v="9473.8943999999992"/>
    <n v="3121.2"/>
    <m/>
    <n v="12595.094399999998"/>
    <n v="1.0591233097880928"/>
  </r>
  <r>
    <x v="2"/>
    <x v="23"/>
    <s v="MAYORISTA PURO"/>
    <s v="CREMA"/>
    <s v="ORTEGA GONZALEZ HERMES ADALBERCREMA"/>
    <n v="977"/>
    <n v="977"/>
    <n v="977"/>
    <n v="2931"/>
    <n v="1.4999999999999999E-2"/>
    <n v="43.964999999999996"/>
    <n v="48.361500000000007"/>
    <n v="0"/>
    <n v="3387.0527999999999"/>
    <n v="2542.5648000000001"/>
    <m/>
    <n v="5929.6175999999996"/>
    <n v="2.0230698055271237"/>
  </r>
  <r>
    <x v="2"/>
    <x v="23"/>
    <s v="MAYORISTA PURO"/>
    <s v="LIQUIDO"/>
    <s v="ORTEGA GONZALEZ HERMES ADALBERLIQUIDO"/>
    <n v="500"/>
    <n v="500"/>
    <n v="500"/>
    <n v="1500"/>
    <n v="1.4999999999999999E-2"/>
    <n v="22.5"/>
    <n v="24.750000000000004"/>
    <n v="0"/>
    <n v="424.55040000000002"/>
    <n v="104.6592"/>
    <m/>
    <n v="529.20960000000002"/>
    <n v="0.35280640000000002"/>
  </r>
  <r>
    <x v="2"/>
    <x v="23"/>
    <s v="MAYORISTA PURO"/>
    <s v="POLVO DETERGENTE"/>
    <s v="ORTEGA GONZALEZ HERMES ADALBERPOLVO DETERGENTE"/>
    <n v="9083"/>
    <n v="9083"/>
    <n v="9083"/>
    <n v="27249"/>
    <n v="1.4999999999999999E-2"/>
    <n v="408.73499999999996"/>
    <n v="449.60849999999999"/>
    <n v="13183.430400000001"/>
    <n v="9079.9384000000009"/>
    <n v="2962.6248000000001"/>
    <m/>
    <n v="25225.993600000005"/>
    <n v="0.92575850856912201"/>
  </r>
  <r>
    <x v="2"/>
    <x v="23"/>
    <s v="MAYORISTA PURO"/>
    <s v="OTRAS CATEGORIAS"/>
    <s v="ORTEGA GONZALEZ HERMES ADALBEROTRAS CATEGORIAS"/>
    <n v="60"/>
    <n v="60"/>
    <n v="60"/>
    <n v="180"/>
    <n v="1.4999999999999999E-2"/>
    <n v="2.6999999999999997"/>
    <n v="2.97"/>
    <n v="0"/>
    <n v="0"/>
    <n v="0"/>
    <m/>
    <n v="0"/>
    <n v="0"/>
  </r>
  <r>
    <x v="2"/>
    <x v="24"/>
    <s v="MAYORISTA PURO"/>
    <s v="BARRA"/>
    <s v="MULLO DUCHI ANA LUCIABARRA"/>
    <n v="6364"/>
    <n v="6364"/>
    <n v="6364"/>
    <n v="19092"/>
    <n v="1.4999999999999999E-2"/>
    <n v="286.38"/>
    <n v="315.01799999999997"/>
    <n v="2433.6"/>
    <n v="7732.1471999999994"/>
    <n v="4207.9103999999998"/>
    <m/>
    <n v="14373.657599999999"/>
    <n v="0.75286285355122562"/>
  </r>
  <r>
    <x v="2"/>
    <x v="24"/>
    <s v="MAYORISTA PURO"/>
    <s v="CREMA"/>
    <s v="MULLO DUCHI ANA LUCIACREMA"/>
    <n v="1350"/>
    <n v="1350"/>
    <n v="1350"/>
    <n v="4050"/>
    <n v="1.4999999999999999E-2"/>
    <n v="60.75"/>
    <n v="66.825000000000003"/>
    <n v="0"/>
    <n v="1487.088"/>
    <n v="853.05599999999993"/>
    <m/>
    <n v="2340.1439999999998"/>
    <n v="0.57781333333333329"/>
  </r>
  <r>
    <x v="2"/>
    <x v="24"/>
    <s v="MAYORISTA PURO"/>
    <s v="LIQUIDO"/>
    <s v="MULLO DUCHI ANA LUCIALIQUIDO"/>
    <n v="187"/>
    <n v="187"/>
    <n v="187"/>
    <n v="561"/>
    <n v="1.4999999999999999E-2"/>
    <n v="8.4149999999999991"/>
    <n v="9.2565000000000008"/>
    <n v="591.73919999999998"/>
    <n v="129.88800000000001"/>
    <n v="519.55200000000002"/>
    <m/>
    <n v="1241.1792"/>
    <n v="2.2124406417112299"/>
  </r>
  <r>
    <x v="2"/>
    <x v="24"/>
    <s v="MAYORISTA PURO"/>
    <s v="POLVO DETERGENTE"/>
    <s v="MULLO DUCHI ANA LUCIAPOLVO DETERGENTE"/>
    <n v="3551"/>
    <n v="3551"/>
    <n v="3551"/>
    <n v="10653"/>
    <n v="1.4999999999999999E-2"/>
    <n v="159.79499999999999"/>
    <n v="175.77450000000002"/>
    <n v="5243.3280000000004"/>
    <n v="6181.4592000000011"/>
    <n v="3769.0560000000005"/>
    <m/>
    <n v="15193.843200000003"/>
    <n v="1.4262501830470293"/>
  </r>
  <r>
    <x v="2"/>
    <x v="24"/>
    <s v="MAYORISTA PURO"/>
    <s v="OTRAS CATEGORIAS"/>
    <s v="MULLO DUCHI ANA LUCIAOTRAS CATEGORIAS"/>
    <n v="20"/>
    <n v="20"/>
    <n v="20"/>
    <n v="60"/>
    <n v="1.4999999999999999E-2"/>
    <n v="0.89999999999999991"/>
    <n v="0.99"/>
    <n v="0"/>
    <n v="0"/>
    <n v="0"/>
    <m/>
    <n v="0"/>
    <n v="0"/>
  </r>
  <r>
    <x v="2"/>
    <x v="25"/>
    <s v="AUTOSERVICIO INDEPENDIENTE"/>
    <s v="BARRA"/>
    <s v="JMORA-WMORAN S.A.S S.A.BARRA"/>
    <n v="3300"/>
    <n v="3300"/>
    <n v="3300"/>
    <n v="9900"/>
    <n v="1.4999999999999999E-2"/>
    <n v="148.5"/>
    <n v="163.35"/>
    <n v="5821.2552000000005"/>
    <n v="3391.4551999999999"/>
    <n v="7169.5971999999983"/>
    <m/>
    <n v="16382.307599999998"/>
    <n v="1.6547785454545454"/>
  </r>
  <r>
    <x v="2"/>
    <x v="25"/>
    <s v="AUTOSERVICIO INDEPENDIENTE"/>
    <s v="CREMA"/>
    <s v="JMORA-WMORAN S.A.S S.A.CREMA"/>
    <n v="1284"/>
    <n v="1284"/>
    <n v="1285"/>
    <n v="3853"/>
    <n v="3.5000000000000003E-2"/>
    <n v="134.85500000000002"/>
    <n v="148.34050000000002"/>
    <n v="2367.2592"/>
    <n v="1578.9155999999998"/>
    <n v="108.48"/>
    <m/>
    <n v="4054.6547999999998"/>
    <n v="1.0523370879833895"/>
  </r>
  <r>
    <x v="2"/>
    <x v="25"/>
    <s v="AUTOSERVICIO INDEPENDIENTE"/>
    <s v="LIQUIDO"/>
    <s v="JMORA-WMORAN S.A.S S.A.LIQUIDO"/>
    <n v="650"/>
    <n v="650"/>
    <n v="650"/>
    <n v="1950"/>
    <n v="1.4999999999999999E-2"/>
    <n v="29.25"/>
    <n v="32.174999999999997"/>
    <n v="501.60799999999983"/>
    <n v="0"/>
    <n v="1643.2800000000002"/>
    <m/>
    <n v="2144.8879999999999"/>
    <n v="1.099942564102564"/>
  </r>
  <r>
    <x v="2"/>
    <x v="25"/>
    <s v="AUTOSERVICIO INDEPENDIENTE"/>
    <s v="POLVO DETERGENTE"/>
    <s v="JMORA-WMORAN S.A.S S.A.POLVO DETERGENTE"/>
    <n v="6800"/>
    <n v="6800"/>
    <n v="6800"/>
    <n v="20400"/>
    <n v="4.4999999999999998E-2"/>
    <n v="918"/>
    <n v="1009.8"/>
    <n v="12532.315200000001"/>
    <n v="10114.003200000001"/>
    <n v="7648.517600000001"/>
    <m/>
    <n v="30294.836000000003"/>
    <n v="1.4850409803921569"/>
  </r>
  <r>
    <x v="2"/>
    <x v="25"/>
    <s v="AUTOSERVICIO INDEPENDIENTE"/>
    <s v="OTRAS CATEGORIAS"/>
    <s v="JMORA-WMORAN S.A.S S.A.OTRAS CATEGORIAS"/>
    <n v="60"/>
    <n v="60"/>
    <n v="60"/>
    <n v="180"/>
    <m/>
    <n v="0"/>
    <n v="0"/>
    <n v="0"/>
    <n v="0"/>
    <n v="0"/>
    <m/>
    <n v="0"/>
    <n v="0"/>
  </r>
  <r>
    <x v="1"/>
    <x v="26"/>
    <s v="MAYORISTA PURO"/>
    <s v="BARRA"/>
    <s v="MASTIAN CHILENO LUIS GEOVANNYBARRA"/>
    <n v="499"/>
    <n v="499"/>
    <n v="499"/>
    <n v="1497"/>
    <n v="1.4999999999999999E-2"/>
    <n v="22.454999999999998"/>
    <n v="24.700499999999998"/>
    <n v="1323.3024"/>
    <n v="106.10639999999999"/>
    <n v="436.1472"/>
    <m/>
    <n v="1865.556"/>
    <n v="1.2461963927855713"/>
  </r>
  <r>
    <x v="1"/>
    <x v="26"/>
    <s v="MAYORISTA PURO"/>
    <s v="CREMA"/>
    <s v="MASTIAN CHILENO LUIS GEOVANNYCREMA"/>
    <n v="2643"/>
    <n v="2643"/>
    <n v="2643"/>
    <n v="7929"/>
    <n v="4.1000000000000002E-2"/>
    <n v="325.089"/>
    <n v="357.5979000000001"/>
    <n v="5534.587199999999"/>
    <n v="0"/>
    <n v="8678.0880000000016"/>
    <m/>
    <n v="14212.675200000001"/>
    <n v="1.7924927733636022"/>
  </r>
  <r>
    <x v="1"/>
    <x v="26"/>
    <s v="MAYORISTA PURO"/>
    <s v="LIQUIDO"/>
    <s v="MASTIAN CHILENO LUIS GEOVANNYLIQUIDO"/>
    <n v="70"/>
    <n v="70"/>
    <n v="70"/>
    <n v="210"/>
    <n v="1.4999999999999999E-2"/>
    <n v="3.15"/>
    <n v="3.4650000000000003"/>
    <n v="209.3184"/>
    <n v="0"/>
    <n v="69.772800000000004"/>
    <m/>
    <n v="279.09120000000001"/>
    <n v="1.3290057142857143"/>
  </r>
  <r>
    <x v="1"/>
    <x v="26"/>
    <s v="MAYORISTA PURO"/>
    <s v="POLVO DETERGENTE"/>
    <s v="MASTIAN CHILENO LUIS GEOVANNYPOLVO DETERGENTE"/>
    <n v="1382"/>
    <n v="1382"/>
    <n v="1382"/>
    <n v="4146"/>
    <n v="0.04"/>
    <n v="165.84"/>
    <n v="182.42400000000001"/>
    <n v="0"/>
    <n v="0"/>
    <n v="0"/>
    <m/>
    <n v="0"/>
    <n v="0"/>
  </r>
  <r>
    <x v="1"/>
    <x v="26"/>
    <s v="MAYORISTA PURO"/>
    <s v="OTRAS CATEGORIAS"/>
    <s v="MASTIAN CHILENO LUIS GEOVANNYOTRAS CATEGORIAS"/>
    <n v="0"/>
    <n v="0"/>
    <n v="0"/>
    <n v="0"/>
    <m/>
    <n v="0"/>
    <n v="0"/>
    <n v="0"/>
    <n v="0"/>
    <n v="0"/>
    <m/>
    <n v="0"/>
    <n v="0"/>
  </r>
  <r>
    <x v="3"/>
    <x v="27"/>
    <s v="AUTOSERVICIO INDEPENDIENTE"/>
    <s v="BARRA"/>
    <s v="LOMBEIDA GONZALEZ WILSON BAYARDO(COMISARIATO LA GRAN OFERTA)BARRA"/>
    <n v="2402.4499999999998"/>
    <n v="2402.4499999999998"/>
    <n v="2402.4499999999998"/>
    <n v="7207.3499999999995"/>
    <n v="1.4999999999999999E-2"/>
    <n v="108.11024999999999"/>
    <n v="118.92127499999999"/>
    <n v="3318.9088000000002"/>
    <n v="960.20800000000008"/>
    <n v="2667.3119999999999"/>
    <m/>
    <n v="6946.4287999999997"/>
    <n v="0.96379790075409133"/>
  </r>
  <r>
    <x v="3"/>
    <x v="27"/>
    <s v="AUTOSERVICIO INDEPENDIENTE"/>
    <s v="CREMA"/>
    <s v="LOMBEIDA GONZALEZ WILSON BAYARDO(COMISARIATO LA GRAN OFERTA)CREMA"/>
    <n v="2359.13"/>
    <n v="2359.13"/>
    <n v="2359.13"/>
    <n v="7077.39"/>
    <n v="3.5000000000000003E-2"/>
    <n v="247.70865000000003"/>
    <n v="272.47951500000005"/>
    <n v="2366.7486000000008"/>
    <n v="2762.6819999999993"/>
    <n v="2135.8307999999993"/>
    <m/>
    <n v="7265.2613999999994"/>
    <n v="1.0265452942398257"/>
  </r>
  <r>
    <x v="3"/>
    <x v="27"/>
    <s v="AUTOSERVICIO INDEPENDIENTE"/>
    <s v="LIQUIDO"/>
    <s v="LOMBEIDA GONZALEZ WILSON BAYARDO(COMISARIATO LA GRAN OFERTA)LIQUIDO"/>
    <n v="667.15"/>
    <n v="667.15"/>
    <n v="667.15"/>
    <n v="2001.4499999999998"/>
    <n v="1.4999999999999999E-2"/>
    <n v="30.021749999999997"/>
    <n v="33.023924999999998"/>
    <n v="665.73879999999986"/>
    <n v="296.45480000000003"/>
    <n v="384.05040000000002"/>
    <m/>
    <n v="1346.2439999999999"/>
    <n v="0.67263434010342504"/>
  </r>
  <r>
    <x v="3"/>
    <x v="27"/>
    <s v="AUTOSERVICIO INDEPENDIENTE"/>
    <s v="POLVO DETERGENTE"/>
    <s v="LOMBEIDA GONZALEZ WILSON BAYARDO(COMISARIATO LA GRAN OFERTA)POLVO DETERGENTE"/>
    <n v="5202.53"/>
    <n v="5202.53"/>
    <n v="5202.53"/>
    <n v="15607.59"/>
    <n v="4.4999999999999998E-2"/>
    <n v="702.34154999999998"/>
    <n v="772.57570500000008"/>
    <n v="0"/>
    <n v="1637.972"/>
    <n v="0"/>
    <m/>
    <n v="1637.972"/>
    <n v="0.10494714430607159"/>
  </r>
  <r>
    <x v="3"/>
    <x v="27"/>
    <s v="AUTOSERVICIO INDEPENDIENTE"/>
    <s v="OTRAS CATEGORIAS"/>
    <s v="LOMBEIDA GONZALEZ WILSON BAYARDO(COMISARIATO LA GRAN OFERTA)OTRAS CATEGORIAS"/>
    <m/>
    <m/>
    <m/>
    <n v="0"/>
    <m/>
    <n v="0"/>
    <n v="0"/>
    <n v="23.507999999999999"/>
    <n v="0"/>
    <n v="0"/>
    <m/>
    <n v="23.507999999999999"/>
    <n v="0"/>
  </r>
  <r>
    <x v="3"/>
    <x v="28"/>
    <s v="AUTOSERVICIO INDEPENDIENTE"/>
    <s v="BARRA"/>
    <s v="LITARDO MURILLO JANELA ALEXANDRABARRA"/>
    <n v="2115.7600000000002"/>
    <n v="2115.7600000000002"/>
    <n v="2115.7600000000002"/>
    <n v="6347.2800000000007"/>
    <n v="1.4999999999999999E-2"/>
    <n v="95.20920000000001"/>
    <n v="104.73012000000001"/>
    <n v="2582.2936"/>
    <n v="3403.9776000000006"/>
    <n v="3287.74"/>
    <m/>
    <n v="9274.0112000000008"/>
    <n v="1.4611000617587375"/>
  </r>
  <r>
    <x v="3"/>
    <x v="28"/>
    <s v="AUTOSERVICIO INDEPENDIENTE"/>
    <s v="CREMA"/>
    <s v="LITARDO MURILLO JANELA ALEXANDRACREMA"/>
    <n v="1722.48"/>
    <n v="1722.48"/>
    <n v="1722.48"/>
    <n v="5167.4400000000005"/>
    <n v="3.5000000000000003E-2"/>
    <n v="180.86040000000003"/>
    <n v="198.94644000000005"/>
    <n v="1456.1892"/>
    <n v="2173.7027999999996"/>
    <n v="1642.6452000000004"/>
    <m/>
    <n v="5272.5372000000007"/>
    <n v="1.0203383493567415"/>
  </r>
  <r>
    <x v="3"/>
    <x v="28"/>
    <s v="AUTOSERVICIO INDEPENDIENTE"/>
    <s v="LIQUIDO"/>
    <s v="LITARDO MURILLO JANELA ALEXANDRALIQUIDO"/>
    <n v="248.56"/>
    <n v="248.56"/>
    <n v="248.56"/>
    <n v="745.68000000000006"/>
    <n v="1.4999999999999999E-2"/>
    <n v="11.1852"/>
    <n v="12.303720000000002"/>
    <n v="342.952"/>
    <n v="546.13239999999996"/>
    <n v="273.37440000000004"/>
    <m/>
    <n v="1162.4587999999999"/>
    <n v="1.558924471623216"/>
  </r>
  <r>
    <x v="3"/>
    <x v="28"/>
    <s v="AUTOSERVICIO INDEPENDIENTE"/>
    <s v="POLVO DETERGENTE"/>
    <s v="LITARDO MURILLO JANELA ALEXANDRAPOLVO DETERGENTE"/>
    <n v="4051.58"/>
    <n v="4051.58"/>
    <n v="4051.58"/>
    <n v="12154.74"/>
    <n v="4.4999999999999998E-2"/>
    <n v="546.9633"/>
    <n v="601.65962999999999"/>
    <n v="2007.1907999999999"/>
    <n v="5019.3792000000003"/>
    <n v="1720.7172"/>
    <m/>
    <n v="8747.2871999999988"/>
    <n v="0.71966057686137253"/>
  </r>
  <r>
    <x v="3"/>
    <x v="28"/>
    <s v="AUTOSERVICIO INDEPENDIENTE"/>
    <s v="OTRAS CATEGORIAS"/>
    <s v="LITARDO MURILLO JANELA ALEXANDRAOTRAS CATEGORIAS"/>
    <m/>
    <m/>
    <m/>
    <n v="0"/>
    <m/>
    <n v="0"/>
    <n v="0"/>
    <n v="0"/>
    <n v="0"/>
    <n v="0"/>
    <m/>
    <n v="0"/>
    <n v="0"/>
  </r>
  <r>
    <x v="2"/>
    <x v="29"/>
    <s v="MAYORISTA PURO"/>
    <s v="BARRA"/>
    <s v="JOAMELCORP SABARRA"/>
    <n v="11500"/>
    <n v="11500"/>
    <n v="11500"/>
    <n v="34500"/>
    <n v="1.4999999999999999E-2"/>
    <n v="517.5"/>
    <n v="569.25"/>
    <n v="1141.4752000000001"/>
    <n v="1774.2287999999999"/>
    <n v="3339"/>
    <m/>
    <n v="6254.7039999999997"/>
    <n v="0.18129576811594203"/>
  </r>
  <r>
    <x v="2"/>
    <x v="29"/>
    <s v="MAYORISTA PURO"/>
    <s v="CREMA"/>
    <s v="JOAMELCORP SACREMA"/>
    <n v="2750"/>
    <n v="2750"/>
    <n v="2750"/>
    <n v="8250"/>
    <n v="3.5000000000000003E-2"/>
    <n v="288.75"/>
    <n v="317.62500000000006"/>
    <n v="4632.4416000000001"/>
    <n v="3586.5984000000008"/>
    <n v="823.41120000000001"/>
    <m/>
    <n v="9042.4512000000013"/>
    <n v="1.0960546909090911"/>
  </r>
  <r>
    <x v="2"/>
    <x v="29"/>
    <s v="MAYORISTA PURO"/>
    <s v="LIQUIDO"/>
    <s v="JOAMELCORP SALIQUIDO"/>
    <n v="306"/>
    <n v="306"/>
    <n v="306"/>
    <n v="918"/>
    <n v="1.4999999999999999E-2"/>
    <n v="13.77"/>
    <n v="15.147"/>
    <n v="426.07200000000006"/>
    <n v="282.14400000000001"/>
    <n v="194.83199999999999"/>
    <m/>
    <n v="903.04800000000012"/>
    <n v="0.9837124183006537"/>
  </r>
  <r>
    <x v="2"/>
    <x v="29"/>
    <s v="MAYORISTA PURO"/>
    <s v="POLVO DETERGENTE"/>
    <s v="JOAMELCORP SAPOLVO DETERGENTE"/>
    <n v="12000"/>
    <n v="12000"/>
    <n v="12000"/>
    <n v="36000"/>
    <n v="4.4999999999999998E-2"/>
    <n v="1620"/>
    <n v="1782"/>
    <n v="0"/>
    <n v="50312.998399999997"/>
    <n v="1644.1"/>
    <m/>
    <n v="51957.098399999995"/>
    <n v="1.4432527333333331"/>
  </r>
  <r>
    <x v="2"/>
    <x v="29"/>
    <s v="MAYORISTA PURO"/>
    <s v="OTRAS CATEGORIAS"/>
    <s v="JOAMELCORP SAOTRAS CATEGORIAS"/>
    <n v="60"/>
    <n v="60"/>
    <n v="60"/>
    <n v="180"/>
    <m/>
    <n v="0"/>
    <n v="0"/>
    <n v="0"/>
    <n v="0"/>
    <n v="0"/>
    <m/>
    <n v="0"/>
    <n v="0"/>
  </r>
  <r>
    <x v="3"/>
    <x v="30"/>
    <s v="AUTOSERVICIO INDEPENDIENTE"/>
    <s v="BARRA"/>
    <s v="IMPORTADORA CARANQUI CIA.LTDA.BARRA"/>
    <n v="1332.47"/>
    <n v="1332.47"/>
    <n v="1332.47"/>
    <n v="3997.41"/>
    <n v="1.4999999999999999E-2"/>
    <n v="59.961149999999996"/>
    <n v="65.957264999999992"/>
    <n v="0"/>
    <n v="0"/>
    <n v="1813.5440000000001"/>
    <m/>
    <n v="1813.5440000000001"/>
    <n v="0.45367975764307394"/>
  </r>
  <r>
    <x v="3"/>
    <x v="30"/>
    <s v="AUTOSERVICIO INDEPENDIENTE"/>
    <s v="CREMA"/>
    <s v="IMPORTADORA CARANQUI CIA.LTDA.CREMA"/>
    <n v="1270.3499999999999"/>
    <n v="1270.3499999999999"/>
    <n v="1270.3499999999999"/>
    <n v="3811.0499999999997"/>
    <n v="3.5000000000000003E-2"/>
    <n v="133.38675000000001"/>
    <n v="146.725425"/>
    <n v="0"/>
    <n v="0"/>
    <n v="2075.8199999999997"/>
    <m/>
    <n v="2075.8199999999997"/>
    <n v="0.54468453575786202"/>
  </r>
  <r>
    <x v="3"/>
    <x v="30"/>
    <s v="AUTOSERVICIO INDEPENDIENTE"/>
    <s v="LIQUIDO"/>
    <s v="IMPORTADORA CARANQUI CIA.LTDA.LIQUIDO"/>
    <n v="221.5"/>
    <n v="221.5"/>
    <n v="221.5"/>
    <n v="664.5"/>
    <n v="1.4999999999999999E-2"/>
    <n v="9.9674999999999994"/>
    <n v="10.96425"/>
    <n v="0"/>
    <n v="0"/>
    <n v="196.50399999999996"/>
    <m/>
    <n v="196.50399999999996"/>
    <n v="0.29571708051166284"/>
  </r>
  <r>
    <x v="3"/>
    <x v="30"/>
    <s v="AUTOSERVICIO INDEPENDIENTE"/>
    <s v="POLVO DETERGENTE"/>
    <s v="IMPORTADORA CARANQUI CIA.LTDA.POLVO DETERGENTE"/>
    <n v="2092.2399999999998"/>
    <n v="2092.2399999999998"/>
    <n v="2092.2399999999998"/>
    <n v="6276.7199999999993"/>
    <n v="4.4999999999999998E-2"/>
    <n v="282.45239999999995"/>
    <n v="310.69763999999998"/>
    <n v="0"/>
    <n v="0"/>
    <n v="325.31"/>
    <m/>
    <n v="325.31"/>
    <n v="5.182802482825425E-2"/>
  </r>
  <r>
    <x v="3"/>
    <x v="30"/>
    <s v="AUTOSERVICIO INDEPENDIENTE"/>
    <s v="OTRAS CATEGORIAS"/>
    <s v="IMPORTADORA CARANQUI CIA.LTDA.OTRAS CATEGORIAS"/>
    <m/>
    <m/>
    <m/>
    <n v="0"/>
    <m/>
    <n v="0"/>
    <n v="0"/>
    <n v="0"/>
    <n v="0"/>
    <n v="23.507999999999999"/>
    <m/>
    <n v="23.507999999999999"/>
    <n v="0"/>
  </r>
  <r>
    <x v="3"/>
    <x v="31"/>
    <s v="AUTOSERVICIO INDEPENDIENTE"/>
    <s v="BARRA"/>
    <s v="HERRERA CABRERA JENNY JACQUELINEBARRA"/>
    <n v="1805.43"/>
    <n v="1805.43"/>
    <n v="1805.43"/>
    <n v="5416.29"/>
    <n v="1.4999999999999999E-2"/>
    <n v="81.244349999999997"/>
    <n v="89.368785000000003"/>
    <n v="2419.3679999999999"/>
    <n v="910.59839999999997"/>
    <n v="3899.1840000000002"/>
    <m/>
    <n v="7229.1504000000004"/>
    <n v="1.3347051948843214"/>
  </r>
  <r>
    <x v="3"/>
    <x v="31"/>
    <s v="AUTOSERVICIO INDEPENDIENTE"/>
    <s v="CREMA"/>
    <s v="HERRERA CABRERA JENNY JACQUELINECREMA"/>
    <n v="1567.09"/>
    <n v="1567.09"/>
    <n v="1567.09"/>
    <n v="4701.2699999999995"/>
    <n v="3.5000000000000003E-2"/>
    <n v="164.54445000000001"/>
    <n v="180.998895"/>
    <n v="2391.2424000000005"/>
    <n v="4370.8572000000004"/>
    <n v="2500.9344000000001"/>
    <m/>
    <n v="9263.0340000000015"/>
    <n v="1.9703258906635872"/>
  </r>
  <r>
    <x v="3"/>
    <x v="31"/>
    <s v="AUTOSERVICIO INDEPENDIENTE"/>
    <s v="LIQUIDO"/>
    <s v="HERRERA CABRERA JENNY JACQUELINELIQUIDO"/>
    <n v="421.1"/>
    <n v="421.1"/>
    <n v="421.1"/>
    <n v="1263.3000000000002"/>
    <n v="1.4999999999999999E-2"/>
    <n v="18.9495"/>
    <n v="20.844450000000005"/>
    <n v="1136.52"/>
    <n v="466.12480000000011"/>
    <n v="324.72000000000003"/>
    <m/>
    <n v="1927.3648000000001"/>
    <n v="1.5256588300482861"/>
  </r>
  <r>
    <x v="3"/>
    <x v="31"/>
    <s v="AUTOSERVICIO INDEPENDIENTE"/>
    <s v="POLVO DETERGENTE"/>
    <s v="HERRERA CABRERA JENNY JACQUELINEPOLVO DETERGENTE"/>
    <n v="4162.25"/>
    <n v="4162.25"/>
    <n v="4162.25"/>
    <n v="12486.75"/>
    <n v="4.4999999999999998E-2"/>
    <n v="561.90374999999995"/>
    <n v="618.09412500000008"/>
    <n v="6611.1488000000008"/>
    <n v="837.04319999999996"/>
    <n v="7469.0271999999995"/>
    <m/>
    <n v="14917.2192"/>
    <n v="1.1946438584899994"/>
  </r>
  <r>
    <x v="3"/>
    <x v="31"/>
    <s v="AUTOSERVICIO INDEPENDIENTE"/>
    <s v="OTRAS CATEGORIAS"/>
    <s v="HERRERA CABRERA JENNY JACQUELINEOTRAS CATEGORIAS"/>
    <m/>
    <m/>
    <m/>
    <n v="0"/>
    <m/>
    <n v="0"/>
    <n v="0"/>
    <n v="0"/>
    <n v="0"/>
    <n v="0"/>
    <m/>
    <n v="0"/>
    <n v="0"/>
  </r>
  <r>
    <x v="1"/>
    <x v="32"/>
    <s v="MH"/>
    <s v="BARRA"/>
    <s v="GUADALUPE CASTILLO ERNESTO VICENTEBARRA"/>
    <n v="1017"/>
    <n v="1017"/>
    <n v="1018"/>
    <n v="3052"/>
    <n v="1.4999999999999999E-2"/>
    <n v="45.78"/>
    <n v="50.358000000000004"/>
    <n v="0"/>
    <n v="920.12400000000002"/>
    <n v="320.47199999999998"/>
    <m/>
    <n v="1240.596"/>
    <n v="0.40648623853211008"/>
  </r>
  <r>
    <x v="1"/>
    <x v="32"/>
    <s v="MH"/>
    <s v="CREMA"/>
    <s v="GUADALUPE CASTILLO ERNESTO VICENTECREMA"/>
    <n v="6202"/>
    <n v="6202"/>
    <n v="6204"/>
    <n v="18608"/>
    <n v="0.04"/>
    <n v="744.32"/>
    <n v="818.75200000000018"/>
    <n v="5576.579999999999"/>
    <n v="6866.4660000000003"/>
    <n v="8967.9279999999999"/>
    <m/>
    <n v="21410.973999999998"/>
    <n v="1.1506327386070507"/>
  </r>
  <r>
    <x v="1"/>
    <x v="32"/>
    <s v="MH"/>
    <s v="LIQUIDO"/>
    <s v="GUADALUPE CASTILLO ERNESTO VICENTELIQUIDO"/>
    <n v="605"/>
    <n v="605"/>
    <n v="607"/>
    <n v="1817"/>
    <n v="1.4999999999999999E-2"/>
    <n v="27.254999999999999"/>
    <n v="29.980500000000003"/>
    <n v="530.76800000000003"/>
    <n v="97.415999999999997"/>
    <n v="438.92800000000005"/>
    <m/>
    <n v="1067.1120000000001"/>
    <n v="0.58729334067143646"/>
  </r>
  <r>
    <x v="1"/>
    <x v="32"/>
    <s v="MH"/>
    <s v="POLVO DETERGENTE"/>
    <s v="GUADALUPE CASTILLO ERNESTO VICENTEPOLVO DETERGENTE"/>
    <n v="2481"/>
    <n v="2481"/>
    <n v="2482"/>
    <n v="7444"/>
    <n v="0.04"/>
    <n v="297.76"/>
    <n v="327.536"/>
    <n v="4232.0040000000008"/>
    <n v="5404.6680000000006"/>
    <n v="1093.0919999999999"/>
    <m/>
    <n v="10729.764000000003"/>
    <n v="1.4413976356797424"/>
  </r>
  <r>
    <x v="1"/>
    <x v="32"/>
    <s v="MH"/>
    <s v="OTRAS CATEGORIAS"/>
    <s v="GUADALUPE CASTILLO ERNESTO VICENTEOTRAS CATEGORIAS"/>
    <m/>
    <m/>
    <m/>
    <n v="0"/>
    <m/>
    <n v="0"/>
    <n v="0"/>
    <n v="0"/>
    <n v="0"/>
    <n v="0"/>
    <m/>
    <n v="0"/>
    <n v="0"/>
  </r>
  <r>
    <x v="1"/>
    <x v="33"/>
    <s v="AUTOSERVICIO INDEPENDIENTE"/>
    <s v="BARRA"/>
    <s v="DISTRIBUIDORA SUPERALIANZA S.A.SBARRA"/>
    <n v="73"/>
    <n v="73"/>
    <n v="73"/>
    <n v="219"/>
    <n v="1.4999999999999999E-2"/>
    <n v="3.2849999999999997"/>
    <n v="3.6135000000000002"/>
    <n v="0"/>
    <n v="42.755000000000003"/>
    <n v="0"/>
    <m/>
    <n v="42.755000000000003"/>
    <n v="0.19522831050228312"/>
  </r>
  <r>
    <x v="1"/>
    <x v="33"/>
    <s v="AUTOSERVICIO INDEPENDIENTE"/>
    <s v="CREMA"/>
    <s v="DISTRIBUIDORA SUPERALIANZA S.A.SCREMA"/>
    <n v="700"/>
    <n v="700"/>
    <n v="700"/>
    <n v="2100"/>
    <n v="0.04"/>
    <n v="84"/>
    <n v="92.4"/>
    <n v="0"/>
    <n v="1099.8720000000001"/>
    <n v="1185"/>
    <m/>
    <n v="2284.8720000000003"/>
    <n v="1.088034285714286"/>
  </r>
  <r>
    <x v="1"/>
    <x v="33"/>
    <s v="AUTOSERVICIO INDEPENDIENTE"/>
    <s v="LIQUIDO"/>
    <s v="DISTRIBUIDORA SUPERALIANZA S.A.SLIQUIDO"/>
    <n v="67"/>
    <n v="67"/>
    <n v="67"/>
    <n v="201"/>
    <n v="1.4999999999999999E-2"/>
    <n v="3.0149999999999997"/>
    <n v="3.3165"/>
    <n v="0"/>
    <n v="0"/>
    <n v="0"/>
    <m/>
    <n v="0"/>
    <n v="0"/>
  </r>
  <r>
    <x v="1"/>
    <x v="33"/>
    <s v="AUTOSERVICIO INDEPENDIENTE"/>
    <s v="POLVO DETERGENTE"/>
    <s v="DISTRIBUIDORA SUPERALIANZA S.A.SPOLVO DETERGENTE"/>
    <n v="700"/>
    <n v="700"/>
    <n v="700"/>
    <n v="2100"/>
    <n v="0.04"/>
    <n v="84"/>
    <n v="92.4"/>
    <n v="0"/>
    <n v="3147.1936000000001"/>
    <n v="0"/>
    <m/>
    <n v="3147.1936000000001"/>
    <n v="1.498663619047619"/>
  </r>
  <r>
    <x v="1"/>
    <x v="33"/>
    <s v="AUTOSERVICIO INDEPENDIENTE"/>
    <s v="OTRAS CATEGORIAS"/>
    <s v="DISTRIBUIDORA SUPERALIANZA S.A.SOTRAS CATEGORIAS"/>
    <n v="0"/>
    <n v="0"/>
    <n v="0"/>
    <n v="0"/>
    <m/>
    <n v="0"/>
    <n v="0"/>
    <n v="0"/>
    <n v="0"/>
    <n v="0"/>
    <m/>
    <n v="0"/>
    <n v="0"/>
  </r>
  <r>
    <x v="3"/>
    <x v="34"/>
    <s v="AUTOSERVICIO INDEPENDIENTE"/>
    <s v="BARRA"/>
    <s v="DISTRIBUIDORA SUPER TIENDA QUEVEDO LUMACAI SABARRA"/>
    <n v="1913.15"/>
    <n v="1913.15"/>
    <n v="1913.15"/>
    <n v="5739.4500000000007"/>
    <n v="1.4999999999999999E-2"/>
    <n v="86.091750000000005"/>
    <n v="94.700925000000012"/>
    <n v="0"/>
    <n v="0"/>
    <n v="1868.6407999999999"/>
    <m/>
    <n v="1868.6407999999999"/>
    <n v="0.3255783742344649"/>
  </r>
  <r>
    <x v="3"/>
    <x v="34"/>
    <s v="AUTOSERVICIO INDEPENDIENTE"/>
    <s v="CREMA"/>
    <s v="DISTRIBUIDORA SUPER TIENDA QUEVEDO LUMACAI SACREMA"/>
    <n v="974.98"/>
    <n v="974.98"/>
    <n v="974.98"/>
    <n v="2924.94"/>
    <n v="3.5000000000000003E-2"/>
    <n v="102.37290000000002"/>
    <n v="112.61019000000002"/>
    <n v="0"/>
    <n v="0"/>
    <n v="3980.4509999999996"/>
    <m/>
    <n v="3980.4509999999996"/>
    <n v="1.360865863915157"/>
  </r>
  <r>
    <x v="3"/>
    <x v="34"/>
    <s v="AUTOSERVICIO INDEPENDIENTE"/>
    <s v="LIQUIDO"/>
    <s v="DISTRIBUIDORA SUPER TIENDA QUEVEDO LUMACAI SALIQUIDO"/>
    <n v="354.05"/>
    <n v="354.05"/>
    <n v="354.05"/>
    <n v="1062.1500000000001"/>
    <n v="1.4999999999999999E-2"/>
    <n v="15.932250000000002"/>
    <n v="17.525475000000004"/>
    <n v="0"/>
    <n v="0"/>
    <n v="243.3168"/>
    <m/>
    <n v="243.3168"/>
    <n v="0.22907950854399095"/>
  </r>
  <r>
    <x v="3"/>
    <x v="34"/>
    <s v="AUTOSERVICIO INDEPENDIENTE"/>
    <s v="POLVO DETERGENTE"/>
    <s v="DISTRIBUIDORA SUPER TIENDA QUEVEDO LUMACAI SAPOLVO DETERGENTE"/>
    <n v="2894.54"/>
    <n v="2894.54"/>
    <n v="2894.54"/>
    <n v="8683.619999999999"/>
    <n v="4.4999999999999998E-2"/>
    <n v="390.76289999999995"/>
    <n v="429.83918999999997"/>
    <n v="0"/>
    <n v="0"/>
    <n v="1774.5642"/>
    <m/>
    <n v="1774.5642"/>
    <n v="0.2043576526840189"/>
  </r>
  <r>
    <x v="3"/>
    <x v="34"/>
    <s v="AUTOSERVICIO INDEPENDIENTE"/>
    <s v="OTRAS CATEGORIAS"/>
    <s v="DISTRIBUIDORA SUPER TIENDA QUEVEDO LUMACAI SAOTRAS CATEGORIAS"/>
    <m/>
    <m/>
    <m/>
    <n v="0"/>
    <m/>
    <n v="0"/>
    <n v="0"/>
    <n v="0"/>
    <n v="0"/>
    <n v="0"/>
    <m/>
    <n v="0"/>
    <n v="0"/>
  </r>
  <r>
    <x v="2"/>
    <x v="35"/>
    <s v="AUTOSERVICIO INDEPENDIENTE"/>
    <s v="BARRA"/>
    <s v="DISPROYSER S.A.BARRA"/>
    <n v="10599"/>
    <n v="10599"/>
    <n v="10599"/>
    <n v="31797"/>
    <n v="1.4999999999999999E-2"/>
    <n v="476.95499999999998"/>
    <n v="524.65050000000008"/>
    <n v="7370.9908000000005"/>
    <n v="11202.606400000001"/>
    <n v="3968.0548000000003"/>
    <m/>
    <n v="22541.652000000002"/>
    <n v="0.70892386074157943"/>
  </r>
  <r>
    <x v="2"/>
    <x v="35"/>
    <s v="AUTOSERVICIO INDEPENDIENTE"/>
    <s v="CREMA"/>
    <s v="DISPROYSER S.A.CREMA"/>
    <n v="6486"/>
    <n v="6486"/>
    <n v="6486"/>
    <n v="19458"/>
    <n v="3.5000000000000003E-2"/>
    <n v="681.03000000000009"/>
    <n v="749.13300000000015"/>
    <n v="7416.4392000000025"/>
    <n v="7422.8669999999993"/>
    <n v="1969.7831999999999"/>
    <m/>
    <n v="16809.089400000004"/>
    <n v="0.86386521739130462"/>
  </r>
  <r>
    <x v="2"/>
    <x v="35"/>
    <s v="AUTOSERVICIO INDEPENDIENTE"/>
    <s v="LIQUIDO"/>
    <s v="DISPROYSER S.A.LIQUIDO"/>
    <n v="922"/>
    <n v="922"/>
    <n v="922"/>
    <n v="2766"/>
    <n v="1.4999999999999999E-2"/>
    <n v="41.49"/>
    <n v="45.639000000000003"/>
    <n v="1731.3040000000003"/>
    <n v="762.02879999999993"/>
    <n v="790.16640000000007"/>
    <m/>
    <n v="3283.4992000000002"/>
    <n v="1.1870929862617499"/>
  </r>
  <r>
    <x v="2"/>
    <x v="35"/>
    <s v="AUTOSERVICIO INDEPENDIENTE"/>
    <s v="POLVO DETERGENTE"/>
    <s v="DISPROYSER S.A.POLVO DETERGENTE"/>
    <n v="4100"/>
    <n v="4100"/>
    <n v="4100"/>
    <n v="12300"/>
    <n v="4.4999999999999998E-2"/>
    <n v="553.5"/>
    <n v="608.85"/>
    <n v="2278.6071999999999"/>
    <n v="4994.0919999999996"/>
    <n v="1386.3527999999999"/>
    <m/>
    <n v="8659.0519999999997"/>
    <n v="0.70398796747967474"/>
  </r>
  <r>
    <x v="2"/>
    <x v="35"/>
    <s v="AUTOSERVICIO INDEPENDIENTE"/>
    <s v="OTRAS CATEGORIAS"/>
    <s v="DISPROYSER S.A.OTRAS CATEGORIAS"/>
    <n v="61"/>
    <n v="61"/>
    <n v="61"/>
    <n v="183"/>
    <m/>
    <n v="0"/>
    <n v="0"/>
    <n v="0"/>
    <n v="0"/>
    <n v="0"/>
    <m/>
    <n v="0"/>
    <n v="0"/>
  </r>
  <r>
    <x v="2"/>
    <x v="36"/>
    <s v="AUTOSERVICIO INDEPENDIENTE"/>
    <s v="BARRA"/>
    <s v="ALMANE CIA. LTDA.BARRA"/>
    <n v="3470"/>
    <n v="3470"/>
    <n v="3470"/>
    <n v="10410"/>
    <n v="1.4999999999999999E-2"/>
    <n v="156.15"/>
    <n v="171.76500000000001"/>
    <n v="6392.9664000000002"/>
    <n v="4443.4175999999998"/>
    <n v="2754.1567999999997"/>
    <m/>
    <n v="13590.540799999999"/>
    <n v="1.3055274543707971"/>
  </r>
  <r>
    <x v="2"/>
    <x v="36"/>
    <s v="AUTOSERVICIO INDEPENDIENTE"/>
    <s v="CREMA"/>
    <s v="ALMANE CIA. LTDA.CREMA"/>
    <n v="1526"/>
    <n v="1526"/>
    <n v="1526"/>
    <n v="4578"/>
    <n v="3.5000000000000003E-2"/>
    <n v="160.23000000000002"/>
    <n v="176.25300000000001"/>
    <n v="0"/>
    <n v="1938.3888000000004"/>
    <n v="2974.1760000000004"/>
    <m/>
    <n v="4912.564800000001"/>
    <n v="1.0730809960681522"/>
  </r>
  <r>
    <x v="2"/>
    <x v="36"/>
    <s v="AUTOSERVICIO INDEPENDIENTE"/>
    <s v="LIQUIDO"/>
    <s v="ALMANE CIA. LTDA.LIQUIDO"/>
    <n v="547"/>
    <n v="547"/>
    <n v="547"/>
    <n v="1641"/>
    <n v="1.4999999999999999E-2"/>
    <n v="24.614999999999998"/>
    <n v="27.076499999999999"/>
    <n v="0"/>
    <n v="0"/>
    <n v="389.66399999999999"/>
    <m/>
    <n v="389.66399999999999"/>
    <n v="0.23745521023765995"/>
  </r>
  <r>
    <x v="2"/>
    <x v="36"/>
    <s v="AUTOSERVICIO INDEPENDIENTE"/>
    <s v="POLVO DETERGENTE"/>
    <s v="ALMANE CIA. LTDA.POLVO DETERGENTE"/>
    <n v="2217"/>
    <n v="2217"/>
    <n v="2217"/>
    <n v="6651"/>
    <n v="4.4999999999999998E-2"/>
    <n v="299.29500000000002"/>
    <n v="329.22449999999998"/>
    <n v="0"/>
    <n v="2590.1724000000004"/>
    <n v="4215.0736000000006"/>
    <m/>
    <n v="6805.246000000001"/>
    <n v="1.0231913997895055"/>
  </r>
  <r>
    <x v="2"/>
    <x v="36"/>
    <s v="AUTOSERVICIO INDEPENDIENTE"/>
    <s v="OTRAS CATEGORIAS"/>
    <s v="ALMANE CIA. LTDA.OTRAS CATEGORIAS"/>
    <n v="61"/>
    <n v="61"/>
    <n v="61"/>
    <n v="183"/>
    <m/>
    <n v="0"/>
    <n v="0"/>
    <n v="0"/>
    <n v="0"/>
    <n v="0"/>
    <m/>
    <n v="0"/>
    <n v="0"/>
  </r>
  <r>
    <x v="2"/>
    <x v="37"/>
    <s v="AUTOSERVICIO INDEPENDIENTE"/>
    <s v="BARRA"/>
    <s v="MOVACAZA S.A.SBARRA"/>
    <n v="1015"/>
    <n v="1015"/>
    <n v="1015"/>
    <n v="3045"/>
    <n v="1.4999999999999999E-2"/>
    <n v="45.674999999999997"/>
    <n v="50.242500000000007"/>
    <n v="749.44799999999998"/>
    <n v="0"/>
    <n v="2404.442"/>
    <m/>
    <n v="3153.89"/>
    <n v="1.03576026272578"/>
  </r>
  <r>
    <x v="2"/>
    <x v="37"/>
    <s v="AUTOSERVICIO INDEPENDIENTE"/>
    <s v="CREMA"/>
    <s v="MOVACAZA S.A.SCREMA"/>
    <n v="333"/>
    <n v="333"/>
    <n v="333"/>
    <n v="999"/>
    <n v="3.5000000000000003E-2"/>
    <n v="34.965000000000003"/>
    <n v="38.461500000000008"/>
    <n v="284.35199999999998"/>
    <n v="0"/>
    <n v="919.20000000000016"/>
    <m/>
    <n v="1203.5520000000001"/>
    <n v="1.204756756756757"/>
  </r>
  <r>
    <x v="2"/>
    <x v="37"/>
    <s v="AUTOSERVICIO INDEPENDIENTE"/>
    <s v="LIQUIDO"/>
    <s v="MOVACAZA S.A.SLIQUIDO"/>
    <n v="511"/>
    <n v="511"/>
    <n v="511"/>
    <n v="1533"/>
    <n v="1.4999999999999999E-2"/>
    <n v="22.994999999999997"/>
    <n v="25.294500000000003"/>
    <n v="175.95839999999995"/>
    <n v="0"/>
    <n v="291.05920000000003"/>
    <m/>
    <n v="467.01760000000002"/>
    <n v="0.30464292237442925"/>
  </r>
  <r>
    <x v="2"/>
    <x v="37"/>
    <s v="AUTOSERVICIO INDEPENDIENTE"/>
    <s v="POLVO DETERGENTE"/>
    <s v="MOVACAZA S.A.SPOLVO DETERGENTE"/>
    <n v="2788"/>
    <n v="2788"/>
    <n v="2788"/>
    <n v="8364"/>
    <n v="4.4999999999999998E-2"/>
    <n v="376.38"/>
    <n v="414.01800000000003"/>
    <n v="8161.1712000000007"/>
    <n v="0"/>
    <n v="2048.2631999999999"/>
    <m/>
    <n v="10209.4344"/>
    <n v="1.2206401721664275"/>
  </r>
  <r>
    <x v="2"/>
    <x v="37"/>
    <s v="AUTOSERVICIO INDEPENDIENTE"/>
    <s v="OTRAS CATEGORIAS"/>
    <s v="MOVACAZA S.A.SOTRAS CATEGORIAS"/>
    <n v="61"/>
    <n v="61"/>
    <n v="61"/>
    <n v="183"/>
    <m/>
    <n v="0"/>
    <n v="0"/>
    <n v="0"/>
    <n v="0"/>
    <n v="0"/>
    <m/>
    <n v="0"/>
    <n v="0"/>
  </r>
  <r>
    <x v="2"/>
    <x v="38"/>
    <s v="MAYORISTA PURO"/>
    <s v="BARRA"/>
    <s v="CONSTRUWITHE S.A.BARRA"/>
    <n v="1718"/>
    <n v="1718"/>
    <n v="1718"/>
    <n v="5154"/>
    <n v="1.4999999999999999E-2"/>
    <n v="77.31"/>
    <n v="85.041000000000011"/>
    <n v="1245.2832000000001"/>
    <n v="2251.7664"/>
    <n v="1419.2496000000001"/>
    <m/>
    <n v="4916.2992000000004"/>
    <n v="0.95388032596041916"/>
  </r>
  <r>
    <x v="2"/>
    <x v="38"/>
    <s v="MAYORISTA PURO"/>
    <s v="CREMA"/>
    <s v="CONSTRUWITHE S.A.CREMA"/>
    <n v="1285"/>
    <n v="1285"/>
    <n v="1285"/>
    <n v="3855"/>
    <n v="1.4999999999999999E-2"/>
    <n v="57.824999999999996"/>
    <n v="63.607499999999995"/>
    <n v="1070.0160000000001"/>
    <n v="1093.8119999999999"/>
    <n v="477.85200000000003"/>
    <m/>
    <n v="2641.68"/>
    <n v="0.68526070038910503"/>
  </r>
  <r>
    <x v="2"/>
    <x v="38"/>
    <s v="MAYORISTA PURO"/>
    <s v="LIQUIDO"/>
    <s v="CONSTRUWITHE S.A.LIQUIDO"/>
    <n v="500"/>
    <n v="500"/>
    <n v="500"/>
    <n v="1500"/>
    <n v="1.4999999999999999E-2"/>
    <n v="22.5"/>
    <n v="24.750000000000004"/>
    <n v="0"/>
    <n v="0"/>
    <n v="0"/>
    <m/>
    <n v="0"/>
    <n v="0"/>
  </r>
  <r>
    <x v="2"/>
    <x v="38"/>
    <s v="MAYORISTA PURO"/>
    <s v="POLVO DETERGENTE"/>
    <s v="CONSTRUWITHE S.A.POLVO DETERGENTE"/>
    <n v="3148"/>
    <n v="3148"/>
    <n v="3148"/>
    <n v="9444"/>
    <n v="1.4999999999999999E-2"/>
    <n v="141.66"/>
    <n v="155.82600000000002"/>
    <n v="2711.2968000000001"/>
    <n v="2362.1543999999999"/>
    <n v="3139.7503999999999"/>
    <m/>
    <n v="8213.2016000000003"/>
    <n v="0.86967403642524355"/>
  </r>
  <r>
    <x v="2"/>
    <x v="38"/>
    <s v="MAYORISTA PURO"/>
    <s v="OTRAS CATEGORIAS"/>
    <s v="CONSTRUWITHE S.A.OTRAS CATEGORIAS"/>
    <n v="60"/>
    <n v="60"/>
    <n v="60"/>
    <n v="180"/>
    <n v="1.4999999999999999E-2"/>
    <n v="2.6999999999999997"/>
    <n v="2.97"/>
    <n v="0"/>
    <n v="0"/>
    <n v="0"/>
    <m/>
    <n v="0"/>
    <n v="0"/>
  </r>
  <r>
    <x v="0"/>
    <x v="39"/>
    <s v="AUTOSERVICIO INDEPENDIENTE"/>
    <s v="BARRA"/>
    <s v="COMERCIALIZADORA BASURTO &amp; SACON SUPERUNO S.A.BARRA"/>
    <n v="3000"/>
    <n v="3000"/>
    <n v="3000"/>
    <n v="9000"/>
    <n v="1.4999999999999999E-2"/>
    <n v="135"/>
    <n v="148.5"/>
    <n v="6117.5036"/>
    <n v="769.8"/>
    <n v="0"/>
    <m/>
    <n v="6887.3036000000002"/>
    <n v="0.76525595555555559"/>
  </r>
  <r>
    <x v="0"/>
    <x v="39"/>
    <s v="AUTOSERVICIO INDEPENDIENTE"/>
    <s v="CREMA"/>
    <s v="COMERCIALIZADORA BASURTO &amp; SACON SUPERUNO S.A.CREMA"/>
    <n v="3900"/>
    <n v="3900"/>
    <n v="3900"/>
    <n v="11700"/>
    <n v="3.5000000000000003E-2"/>
    <n v="409.50000000000006"/>
    <n v="450.4500000000001"/>
    <n v="6796.2108000000017"/>
    <n v="4408.6224000000011"/>
    <n v="0"/>
    <m/>
    <n v="11204.833200000003"/>
    <n v="0.95767805128205152"/>
  </r>
  <r>
    <x v="0"/>
    <x v="39"/>
    <s v="AUTOSERVICIO INDEPENDIENTE"/>
    <s v="LIQUIDO"/>
    <s v="COMERCIALIZADORA BASURTO &amp; SACON SUPERUNO S.A.LIQUIDO"/>
    <n v="400"/>
    <n v="400"/>
    <n v="400"/>
    <n v="1200"/>
    <n v="1.4999999999999999E-2"/>
    <n v="18"/>
    <n v="19.8"/>
    <n v="389.66399999999999"/>
    <n v="1483.0428000000002"/>
    <n v="0"/>
    <m/>
    <n v="1872.7068000000002"/>
    <n v="1.5605890000000002"/>
  </r>
  <r>
    <x v="0"/>
    <x v="39"/>
    <s v="AUTOSERVICIO INDEPENDIENTE"/>
    <s v="POLVO DETERGENTE"/>
    <s v="COMERCIALIZADORA BASURTO &amp; SACON SUPERUNO S.A.POLVO DETERGENTE"/>
    <n v="13500"/>
    <n v="13500"/>
    <n v="13500"/>
    <n v="40500"/>
    <n v="4.4999999999999998E-2"/>
    <n v="1822.5"/>
    <n v="2004.75"/>
    <n v="15050.160000000002"/>
    <n v="17834.9512"/>
    <n v="0"/>
    <m/>
    <n v="32885.111199999999"/>
    <n v="0.81197805432098769"/>
  </r>
  <r>
    <x v="0"/>
    <x v="39"/>
    <s v="AUTOSERVICIO INDEPENDIENTE"/>
    <s v="OTRAS CATEGORIAS"/>
    <s v="COMERCIALIZADORA BASURTO &amp; SACON SUPERUNO S.A.OTRAS CATEGORIAS"/>
    <n v="10"/>
    <n v="10"/>
    <n v="10"/>
    <n v="30"/>
    <m/>
    <n v="0"/>
    <n v="0"/>
    <n v="23.507999999999999"/>
    <n v="0"/>
    <n v="0"/>
    <m/>
    <n v="23.507999999999999"/>
    <n v="0.78359999999999996"/>
  </r>
  <r>
    <x v="0"/>
    <x v="40"/>
    <s v="AUTOSERVICIO INDEPENDIENTE"/>
    <s v="BARRA"/>
    <s v="COMERCIAL ROMERO REYNA COMROBARRA"/>
    <n v="850"/>
    <n v="850"/>
    <n v="850"/>
    <n v="2550"/>
    <n v="1.4999999999999999E-2"/>
    <n v="38.25"/>
    <n v="42.074999999999996"/>
    <n v="0"/>
    <n v="819.1271999999999"/>
    <n v="0"/>
    <m/>
    <n v="819.1271999999999"/>
    <n v="0.32122635294117641"/>
  </r>
  <r>
    <x v="0"/>
    <x v="40"/>
    <s v="AUTOSERVICIO INDEPENDIENTE"/>
    <s v="CREMA"/>
    <s v="COMERCIAL ROMERO REYNA COMROCREMA"/>
    <n v="1700"/>
    <n v="1700"/>
    <n v="1700"/>
    <n v="5100"/>
    <n v="3.5000000000000003E-2"/>
    <n v="178.50000000000003"/>
    <n v="196.35000000000002"/>
    <n v="0"/>
    <n v="2124.7367999999997"/>
    <n v="2085.6275999999998"/>
    <m/>
    <n v="4210.3643999999995"/>
    <n v="0.8255616470588234"/>
  </r>
  <r>
    <x v="0"/>
    <x v="40"/>
    <s v="AUTOSERVICIO INDEPENDIENTE"/>
    <s v="LIQUIDO"/>
    <s v="COMERCIAL ROMERO REYNA COMROLIQUIDO"/>
    <n v="372"/>
    <n v="372"/>
    <n v="372"/>
    <n v="1116"/>
    <n v="1.4999999999999999E-2"/>
    <n v="16.739999999999998"/>
    <n v="18.414000000000001"/>
    <n v="1688.5440000000001"/>
    <n v="586.13760000000002"/>
    <n v="491.90880000000004"/>
    <m/>
    <n v="2766.5904"/>
    <n v="2.4790236559139784"/>
  </r>
  <r>
    <x v="0"/>
    <x v="40"/>
    <s v="AUTOSERVICIO INDEPENDIENTE"/>
    <s v="POLVO DETERGENTE"/>
    <s v="COMERCIAL ROMERO REYNA COMROPOLVO DETERGENTE"/>
    <n v="2000"/>
    <n v="2000"/>
    <n v="2000"/>
    <n v="6000"/>
    <n v="4.4999999999999998E-2"/>
    <n v="270"/>
    <n v="297.00000000000006"/>
    <n v="0"/>
    <n v="1477.3338000000001"/>
    <n v="1886.0128000000002"/>
    <m/>
    <n v="3363.3466000000003"/>
    <n v="0.56055776666666668"/>
  </r>
  <r>
    <x v="0"/>
    <x v="40"/>
    <s v="AUTOSERVICIO INDEPENDIENTE"/>
    <s v="OTRAS CATEGORIAS"/>
    <s v="COMERCIAL ROMERO REYNA COMROOTRAS CATEGORIAS"/>
    <n v="10"/>
    <n v="10"/>
    <n v="10"/>
    <n v="30"/>
    <m/>
    <n v="0"/>
    <n v="0"/>
    <n v="0"/>
    <n v="0"/>
    <n v="0"/>
    <m/>
    <n v="0"/>
    <n v="0"/>
  </r>
  <r>
    <x v="3"/>
    <x v="41"/>
    <s v="AUTOSERVICIO INDEPENDIENTE"/>
    <s v="BARRA"/>
    <s v="COMERCIAL LA FERIA HLS CIA.LTDA.BARRA"/>
    <n v="11437.53"/>
    <n v="11437.53"/>
    <n v="11437.53"/>
    <n v="34312.590000000004"/>
    <n v="1.4999999999999999E-2"/>
    <n v="514.68885"/>
    <n v="566.15773500000012"/>
    <n v="12223.731199999997"/>
    <n v="14190.310399999998"/>
    <n v="14002.977600000004"/>
    <m/>
    <n v="40417.019200000002"/>
    <n v="1.1779063952910578"/>
  </r>
  <r>
    <x v="3"/>
    <x v="41"/>
    <s v="AUTOSERVICIO INDEPENDIENTE"/>
    <s v="CREMA"/>
    <s v="COMERCIAL LA FERIA HLS CIA.LTDA.CREMA"/>
    <n v="17015.96"/>
    <n v="17015.96"/>
    <n v="17015.96"/>
    <n v="51047.88"/>
    <n v="3.5000000000000003E-2"/>
    <n v="1786.6758"/>
    <n v="1965.3433800000005"/>
    <n v="22376.876999999982"/>
    <n v="23788.962599999999"/>
    <n v="17585.935199999996"/>
    <m/>
    <n v="63751.77479999997"/>
    <n v="1.2488623386514772"/>
  </r>
  <r>
    <x v="3"/>
    <x v="41"/>
    <s v="AUTOSERVICIO INDEPENDIENTE"/>
    <s v="LIQUIDO"/>
    <s v="COMERCIAL LA FERIA HLS CIA.LTDA.LIQUIDO"/>
    <n v="5101.8599999999997"/>
    <n v="5101.8599999999997"/>
    <n v="5101.8599999999997"/>
    <n v="15305.579999999998"/>
    <n v="1.4999999999999999E-2"/>
    <n v="229.58369999999996"/>
    <n v="252.54206999999997"/>
    <n v="3282.3119999999999"/>
    <n v="4431.3708000000006"/>
    <n v="5182.3107999999984"/>
    <m/>
    <n v="12895.993599999998"/>
    <n v="0.84256810914712144"/>
  </r>
  <r>
    <x v="3"/>
    <x v="41"/>
    <s v="AUTOSERVICIO INDEPENDIENTE"/>
    <s v="POLVO DETERGENTE"/>
    <s v="COMERCIAL LA FERIA HLS CIA.LTDA.POLVO DETERGENTE"/>
    <n v="34788.06"/>
    <n v="34788.06"/>
    <n v="34788.06"/>
    <n v="104364.18"/>
    <n v="4.4999999999999998E-2"/>
    <n v="4696.3880999999992"/>
    <n v="5166.0269099999996"/>
    <n v="43893.135999999969"/>
    <n v="37761.944000000003"/>
    <n v="33288.956800000007"/>
    <m/>
    <n v="114944.03679999997"/>
    <n v="1.1013744064294855"/>
  </r>
  <r>
    <x v="3"/>
    <x v="41"/>
    <s v="AUTOSERVICIO INDEPENDIENTE"/>
    <s v="OTRAS CATEGORIAS"/>
    <s v="COMERCIAL LA FERIA HLS CIA.LTDA.OTRAS CATEGORIAS"/>
    <m/>
    <m/>
    <m/>
    <n v="0"/>
    <m/>
    <n v="0"/>
    <n v="0"/>
    <n v="0"/>
    <n v="0"/>
    <n v="0"/>
    <m/>
    <n v="0"/>
    <n v="0"/>
  </r>
  <r>
    <x v="0"/>
    <x v="42"/>
    <s v="AUTOSERVICIO INDEPENDIENTE"/>
    <s v="BARRA"/>
    <s v="COMERCIAL CASANOVA COMCASANOVA S.A.BARRA"/>
    <n v="2500"/>
    <n v="2500"/>
    <n v="2500"/>
    <n v="7500"/>
    <n v="1.4999999999999999E-2"/>
    <n v="112.5"/>
    <n v="123.75"/>
    <n v="4039.06"/>
    <n v="1701.5055999999997"/>
    <n v="2508.0511999999999"/>
    <m/>
    <n v="8248.6167999999998"/>
    <n v="1.0998155733333332"/>
  </r>
  <r>
    <x v="0"/>
    <x v="42"/>
    <s v="AUTOSERVICIO INDEPENDIENTE"/>
    <s v="CREMA"/>
    <s v="COMERCIAL CASANOVA COMCASANOVA S.A.CREMA"/>
    <n v="3800"/>
    <n v="3800"/>
    <n v="3800"/>
    <n v="11400"/>
    <n v="3.5000000000000003E-2"/>
    <n v="399.00000000000006"/>
    <n v="438.90000000000009"/>
    <n v="8625.0528000000031"/>
    <n v="1286.7162000000001"/>
    <n v="4652.6544000000004"/>
    <m/>
    <n v="14564.423400000003"/>
    <n v="1.2775810000000003"/>
  </r>
  <r>
    <x v="0"/>
    <x v="42"/>
    <s v="AUTOSERVICIO INDEPENDIENTE"/>
    <s v="LIQUIDO"/>
    <s v="COMERCIAL CASANOVA COMCASANOVA S.A.LIQUIDO"/>
    <n v="2444.94"/>
    <n v="2444.94"/>
    <n v="2444.94"/>
    <n v="7334.82"/>
    <n v="1.4999999999999999E-2"/>
    <n v="110.02229999999999"/>
    <n v="121.02453"/>
    <n v="3042.9081999999994"/>
    <n v="3186.0051999999996"/>
    <n v="986.58920000000001"/>
    <m/>
    <n v="7215.5025999999998"/>
    <n v="0.98373274327113691"/>
  </r>
  <r>
    <x v="0"/>
    <x v="42"/>
    <s v="AUTOSERVICIO INDEPENDIENTE"/>
    <s v="POLVO DETERGENTE"/>
    <s v="COMERCIAL CASANOVA COMCASANOVA S.A.POLVO DETERGENTE"/>
    <n v="11953"/>
    <n v="11953"/>
    <n v="11953"/>
    <n v="35859"/>
    <n v="4.4999999999999998E-2"/>
    <n v="1613.655"/>
    <n v="1775.0205000000001"/>
    <n v="17921.148000000001"/>
    <n v="9416.7360000000008"/>
    <n v="9714.0671999999995"/>
    <m/>
    <n v="37051.951200000003"/>
    <n v="1.0332678323433448"/>
  </r>
  <r>
    <x v="0"/>
    <x v="42"/>
    <s v="AUTOSERVICIO INDEPENDIENTE"/>
    <s v="OTRAS CATEGORIAS"/>
    <s v="COMERCIAL CASANOVA COMCASANOVA S.A.OTRAS CATEGORIAS"/>
    <n v="30"/>
    <n v="30"/>
    <n v="30"/>
    <n v="90"/>
    <m/>
    <n v="0"/>
    <n v="0"/>
    <n v="47.015999999999998"/>
    <n v="20.569500000000001"/>
    <n v="23.507999999999999"/>
    <m/>
    <n v="91.093499999999992"/>
    <n v="1.0121499999999999"/>
  </r>
  <r>
    <x v="2"/>
    <x v="43"/>
    <s v="MAYORISTA PURO"/>
    <s v="BARRA"/>
    <s v="DISTRIBUIDORA DE PRODUCTOS DE CONSUMO MASIVO CODIPROMASA C.ABARRA"/>
    <n v="3860"/>
    <n v="3860"/>
    <n v="3860"/>
    <n v="11580"/>
    <n v="1.4999999999999999E-2"/>
    <n v="173.7"/>
    <n v="191.07000000000002"/>
    <n v="3797.1696000000002"/>
    <n v="7393.6944000000003"/>
    <n v="0"/>
    <m/>
    <n v="11190.864000000001"/>
    <n v="0.96639585492227986"/>
  </r>
  <r>
    <x v="2"/>
    <x v="43"/>
    <s v="MAYORISTA PURO"/>
    <s v="CREMA"/>
    <s v="DISTRIBUIDORA DE PRODUCTOS DE CONSUMO MASIVO CODIPROMASA C.ACREMA"/>
    <n v="1200"/>
    <n v="1200"/>
    <n v="1200"/>
    <n v="3600"/>
    <n v="3.5000000000000003E-2"/>
    <n v="126.00000000000001"/>
    <n v="138.60000000000002"/>
    <n v="2765.4624000000003"/>
    <n v="2060.5871999999999"/>
    <n v="0"/>
    <m/>
    <n v="4826.0496000000003"/>
    <n v="1.3405693333333335"/>
  </r>
  <r>
    <x v="2"/>
    <x v="43"/>
    <s v="MAYORISTA PURO"/>
    <s v="LIQUIDO"/>
    <s v="DISTRIBUIDORA DE PRODUCTOS DE CONSUMO MASIVO CODIPROMASA C.ALIQUIDO"/>
    <n v="800"/>
    <n v="800"/>
    <n v="800"/>
    <n v="2400"/>
    <n v="1.4999999999999999E-2"/>
    <n v="36"/>
    <n v="39.6"/>
    <n v="769.81600000000003"/>
    <n v="1404.1680000000001"/>
    <n v="0"/>
    <m/>
    <n v="2173.9840000000004"/>
    <n v="0.90582666666666678"/>
  </r>
  <r>
    <x v="2"/>
    <x v="43"/>
    <s v="MAYORISTA PURO"/>
    <s v="POLVO DETERGENTE"/>
    <s v="DISTRIBUIDORA DE PRODUCTOS DE CONSUMO MASIVO CODIPROMASA C.APOLVO DETERGENTE"/>
    <n v="6120"/>
    <n v="6120"/>
    <n v="6120"/>
    <n v="18360"/>
    <n v="4.4999999999999998E-2"/>
    <n v="826.19999999999993"/>
    <n v="908.81999999999994"/>
    <n v="13970.830400000001"/>
    <n v="13118.724799999998"/>
    <n v="0"/>
    <m/>
    <n v="27089.555199999999"/>
    <n v="1.4754659694989105"/>
  </r>
  <r>
    <x v="2"/>
    <x v="43"/>
    <s v="MAYORISTA PURO"/>
    <s v="OTRAS CATEGORIAS"/>
    <s v="DISTRIBUIDORA DE PRODUCTOS DE CONSUMO MASIVO CODIPROMASA C.AOTRAS CATEGORIAS"/>
    <n v="20"/>
    <n v="20"/>
    <n v="20"/>
    <n v="60"/>
    <m/>
    <n v="0"/>
    <n v="0"/>
    <n v="0"/>
    <n v="0"/>
    <n v="0"/>
    <m/>
    <n v="0"/>
    <n v="0"/>
  </r>
  <r>
    <x v="2"/>
    <x v="44"/>
    <s v="MAYORISTA PURO"/>
    <s v="BARRA"/>
    <s v="CENTRO DE COMERCIO GUALLI CIA. LTDA.BARRA"/>
    <n v="2472"/>
    <n v="2472"/>
    <n v="2472"/>
    <n v="7416"/>
    <n v="1.4999999999999999E-2"/>
    <n v="111.24"/>
    <n v="122.364"/>
    <n v="3062.4179999999997"/>
    <n v="3014.5380000000005"/>
    <n v="2309.5060000000008"/>
    <m/>
    <n v="8386.4620000000014"/>
    <n v="1.1308605717367854"/>
  </r>
  <r>
    <x v="2"/>
    <x v="44"/>
    <s v="MAYORISTA PURO"/>
    <s v="CREMA"/>
    <s v="CENTRO DE COMERCIO GUALLI CIA. LTDA.CREMA"/>
    <n v="316"/>
    <n v="316"/>
    <n v="316"/>
    <n v="948"/>
    <n v="1.4999999999999999E-2"/>
    <n v="14.219999999999999"/>
    <n v="15.642000000000003"/>
    <n v="0"/>
    <n v="0"/>
    <n v="0"/>
    <m/>
    <n v="0"/>
    <n v="0"/>
  </r>
  <r>
    <x v="2"/>
    <x v="44"/>
    <s v="MAYORISTA PURO"/>
    <s v="LIQUIDO"/>
    <s v="CENTRO DE COMERCIO GUALLI CIA. LTDA.LIQUIDO"/>
    <n v="1157"/>
    <n v="1157"/>
    <n v="1157"/>
    <n v="3471"/>
    <n v="1.4999999999999999E-2"/>
    <n v="52.064999999999998"/>
    <n v="57.271500000000003"/>
    <n v="1242.3600000000001"/>
    <n v="1701.1800000000007"/>
    <n v="1208.0904"/>
    <m/>
    <n v="4151.6304000000009"/>
    <n v="1.1960905790838379"/>
  </r>
  <r>
    <x v="2"/>
    <x v="44"/>
    <s v="MAYORISTA PURO"/>
    <s v="POLVO DETERGENTE"/>
    <s v="CENTRO DE COMERCIO GUALLI CIA. LTDA.POLVO DETERGENTE"/>
    <n v="1928"/>
    <n v="1928"/>
    <n v="1928"/>
    <n v="5784"/>
    <n v="1.4999999999999999E-2"/>
    <n v="86.759999999999991"/>
    <n v="95.436000000000007"/>
    <n v="1569.4560000000001"/>
    <n v="1831.0320000000002"/>
    <n v="1569.4560000000001"/>
    <m/>
    <n v="4969.9440000000004"/>
    <n v="0.85925726141078851"/>
  </r>
  <r>
    <x v="2"/>
    <x v="44"/>
    <s v="MAYORISTA PURO"/>
    <s v="OTRAS CATEGORIAS"/>
    <s v="CENTRO DE COMERCIO GUALLI CIA. LTDA.OTRAS CATEGORIAS"/>
    <n v="20"/>
    <n v="20"/>
    <n v="20"/>
    <n v="60"/>
    <n v="1.4999999999999999E-2"/>
    <n v="0.89999999999999991"/>
    <n v="0.99"/>
    <n v="0"/>
    <n v="0"/>
    <n v="0"/>
    <m/>
    <n v="0"/>
    <n v="0"/>
  </r>
  <r>
    <x v="0"/>
    <x v="45"/>
    <s v="AUTOSERVICIO INDEPENDIENTE"/>
    <s v="BARRA"/>
    <s v="CEDEÑO MEDINA WASHINGTON MONSERRATEBARRA"/>
    <n v="372.3"/>
    <n v="372.3"/>
    <n v="372.3"/>
    <n v="1116.9000000000001"/>
    <n v="1.4999999999999999E-2"/>
    <n v="16.753500000000003"/>
    <n v="18.428850000000001"/>
    <n v="0"/>
    <n v="0"/>
    <n v="1118.4671999999998"/>
    <m/>
    <n v="1118.4671999999998"/>
    <n v="1.0014031694869727"/>
  </r>
  <r>
    <x v="0"/>
    <x v="45"/>
    <s v="AUTOSERVICIO INDEPENDIENTE"/>
    <s v="CREMA"/>
    <s v="CEDEÑO MEDINA WASHINGTON MONSERRATECREMA"/>
    <n v="720.46"/>
    <n v="720.46"/>
    <n v="720.46"/>
    <n v="2161.38"/>
    <n v="3.5000000000000003E-2"/>
    <n v="75.648300000000006"/>
    <n v="83.213130000000021"/>
    <n v="0"/>
    <n v="0"/>
    <n v="2310.4992000000002"/>
    <m/>
    <n v="2310.4992000000002"/>
    <n v="1.0689925880687339"/>
  </r>
  <r>
    <x v="0"/>
    <x v="45"/>
    <s v="AUTOSERVICIO INDEPENDIENTE"/>
    <s v="LIQUIDO"/>
    <s v="CEDEÑO MEDINA WASHINGTON MONSERRATELIQUIDO"/>
    <n v="182.24"/>
    <n v="182.24"/>
    <n v="182.24"/>
    <n v="546.72"/>
    <n v="1.4999999999999999E-2"/>
    <n v="8.200800000000001"/>
    <n v="9.02088"/>
    <n v="0"/>
    <n v="456.28"/>
    <n v="165.32159999999999"/>
    <m/>
    <n v="621.60159999999996"/>
    <n v="1.1369651741293532"/>
  </r>
  <r>
    <x v="0"/>
    <x v="45"/>
    <s v="AUTOSERVICIO INDEPENDIENTE"/>
    <s v="POLVO DETERGENTE"/>
    <s v="CEDEÑO MEDINA WASHINGTON MONSERRATEPOLVO DETERGENTE"/>
    <n v="1183.54"/>
    <n v="1183.54"/>
    <n v="1183.54"/>
    <n v="3550.62"/>
    <n v="4.4999999999999998E-2"/>
    <n v="159.77789999999999"/>
    <n v="175.75569000000002"/>
    <n v="0"/>
    <n v="0"/>
    <n v="3469.1615999999999"/>
    <m/>
    <n v="3469.1615999999999"/>
    <n v="0.97705797860655319"/>
  </r>
  <r>
    <x v="0"/>
    <x v="45"/>
    <s v="AUTOSERVICIO INDEPENDIENTE"/>
    <s v="OTRAS CATEGORIAS"/>
    <s v="CEDEÑO MEDINA WASHINGTON MONSERRATEOTRAS CATEGORIAS"/>
    <n v="10"/>
    <n v="10"/>
    <n v="10"/>
    <n v="30"/>
    <m/>
    <n v="0"/>
    <n v="0"/>
    <n v="0"/>
    <n v="0"/>
    <n v="0"/>
    <m/>
    <n v="0"/>
    <n v="0"/>
  </r>
  <r>
    <x v="3"/>
    <x v="46"/>
    <s v="AUTOSERVICIO INDEPENDIENTE"/>
    <s v="BARRA"/>
    <s v="CEDEPLUS S.C.C.BARRA"/>
    <n v="3656.17"/>
    <n v="3656.17"/>
    <n v="3656.17"/>
    <n v="10968.51"/>
    <n v="1.4999999999999999E-2"/>
    <n v="164.52764999999999"/>
    <n v="180.98041499999999"/>
    <n v="0"/>
    <n v="2138.4432000000002"/>
    <n v="5919.9359999999997"/>
    <m/>
    <n v="8058.3791999999994"/>
    <n v="0.73468312469059149"/>
  </r>
  <r>
    <x v="3"/>
    <x v="46"/>
    <s v="AUTOSERVICIO INDEPENDIENTE"/>
    <s v="CREMA"/>
    <s v="CEDEPLUS S.C.C.CREMA"/>
    <n v="6395.03"/>
    <n v="6395.03"/>
    <n v="6395.03"/>
    <n v="19185.09"/>
    <n v="3.5000000000000003E-2"/>
    <n v="671.47815000000003"/>
    <n v="738.62596500000018"/>
    <n v="0"/>
    <n v="3682.7568000000006"/>
    <n v="15828.388800000001"/>
    <m/>
    <n v="19511.1456"/>
    <n v="1.0169952603818904"/>
  </r>
  <r>
    <x v="3"/>
    <x v="46"/>
    <s v="AUTOSERVICIO INDEPENDIENTE"/>
    <s v="LIQUIDO"/>
    <s v="CEDEPLUS S.C.C.LIQUIDO"/>
    <n v="905.2"/>
    <n v="905.2"/>
    <n v="905.2"/>
    <n v="2715.6000000000004"/>
    <n v="1.4999999999999999E-2"/>
    <n v="40.734000000000002"/>
    <n v="44.807400000000008"/>
    <n v="0"/>
    <n v="1558.6559999999999"/>
    <n v="1345.8335999999999"/>
    <m/>
    <n v="2904.4895999999999"/>
    <n v="1.0695572249226688"/>
  </r>
  <r>
    <x v="3"/>
    <x v="46"/>
    <s v="AUTOSERVICIO INDEPENDIENTE"/>
    <s v="POLVO DETERGENTE"/>
    <s v="CEDEPLUS S.C.C.POLVO DETERGENTE"/>
    <n v="10861.36"/>
    <n v="10861.36"/>
    <n v="10861.36"/>
    <n v="32584.080000000002"/>
    <n v="4.4999999999999998E-2"/>
    <n v="1466.2836"/>
    <n v="1612.9119600000001"/>
    <n v="0"/>
    <n v="10679.683200000001"/>
    <n v="24320.614399999999"/>
    <m/>
    <n v="35000.297599999998"/>
    <n v="1.0741533165889599"/>
  </r>
  <r>
    <x v="3"/>
    <x v="46"/>
    <s v="AUTOSERVICIO INDEPENDIENTE"/>
    <s v="OTRAS CATEGORIAS"/>
    <s v="CEDEPLUS S.C.C.OTRAS CATEGORIAS"/>
    <m/>
    <m/>
    <m/>
    <n v="0"/>
    <m/>
    <n v="0"/>
    <n v="0"/>
    <n v="0"/>
    <n v="0"/>
    <n v="0"/>
    <m/>
    <n v="0"/>
    <n v="0"/>
  </r>
  <r>
    <x v="2"/>
    <x v="47"/>
    <s v="AUTOSERVICIO INDEPENDIENTE"/>
    <s v="BARRA"/>
    <s v="CAYA-AUTOSERVICIOS S.A.SBARRA"/>
    <n v="1370"/>
    <n v="1370"/>
    <n v="1370"/>
    <n v="4110"/>
    <n v="1.4999999999999999E-2"/>
    <n v="61.65"/>
    <n v="67.814999999999998"/>
    <n v="1354.8"/>
    <n v="1961.9163999999998"/>
    <n v="973.2743999999999"/>
    <m/>
    <n v="4289.9907999999996"/>
    <n v="1.0437933819951337"/>
  </r>
  <r>
    <x v="2"/>
    <x v="47"/>
    <s v="AUTOSERVICIO INDEPENDIENTE"/>
    <s v="CREMA"/>
    <s v="CAYA-AUTOSERVICIOS S.A.SCREMA"/>
    <n v="291"/>
    <n v="291"/>
    <n v="291"/>
    <n v="873"/>
    <n v="3.5000000000000003E-2"/>
    <n v="30.555000000000003"/>
    <n v="33.610500000000009"/>
    <n v="563.65500000000009"/>
    <n v="763.79400000000021"/>
    <n v="526.36200000000008"/>
    <m/>
    <n v="1853.8110000000004"/>
    <n v="2.1234948453608253"/>
  </r>
  <r>
    <x v="2"/>
    <x v="47"/>
    <s v="AUTOSERVICIO INDEPENDIENTE"/>
    <s v="LIQUIDO"/>
    <s v="CAYA-AUTOSERVICIOS S.A.SLIQUIDO"/>
    <n v="382"/>
    <n v="382"/>
    <n v="382"/>
    <n v="1146"/>
    <n v="1.4999999999999999E-2"/>
    <n v="17.189999999999998"/>
    <n v="18.909000000000002"/>
    <n v="657.61279999999999"/>
    <n v="0"/>
    <n v="649.44000000000005"/>
    <m/>
    <n v="1307.0527999999999"/>
    <n v="1.1405347294938917"/>
  </r>
  <r>
    <x v="2"/>
    <x v="47"/>
    <s v="AUTOSERVICIO INDEPENDIENTE"/>
    <s v="POLVO DETERGENTE"/>
    <s v="CAYA-AUTOSERVICIOS S.A.SPOLVO DETERGENTE"/>
    <n v="4850"/>
    <n v="4850"/>
    <n v="4850"/>
    <n v="14550"/>
    <n v="4.4999999999999998E-2"/>
    <n v="654.75"/>
    <n v="720.22500000000002"/>
    <n v="3828.3400000000006"/>
    <n v="3839.7736"/>
    <n v="7030.7959999999994"/>
    <m/>
    <n v="14698.909599999999"/>
    <n v="1.0102343367697595"/>
  </r>
  <r>
    <x v="2"/>
    <x v="47"/>
    <s v="AUTOSERVICIO INDEPENDIENTE"/>
    <s v="OTRAS CATEGORIAS"/>
    <s v="CAYA-AUTOSERVICIOS S.A.SOTRAS CATEGORIAS"/>
    <n v="20"/>
    <n v="20"/>
    <n v="20"/>
    <n v="60"/>
    <m/>
    <n v="0"/>
    <n v="0"/>
    <n v="0"/>
    <n v="0"/>
    <n v="0"/>
    <m/>
    <n v="0"/>
    <n v="0"/>
  </r>
  <r>
    <x v="2"/>
    <x v="48"/>
    <s v="MAYORISTA PURO"/>
    <s v="BARRA"/>
    <s v="CARRILLO GALARZA MARCO ANTONIOBARRA"/>
    <n v="3850"/>
    <n v="3850"/>
    <n v="3850"/>
    <n v="11550"/>
    <n v="1.4999999999999999E-2"/>
    <n v="173.25"/>
    <n v="190.57500000000002"/>
    <n v="0"/>
    <n v="0"/>
    <n v="0"/>
    <m/>
    <n v="0"/>
    <n v="0"/>
  </r>
  <r>
    <x v="2"/>
    <x v="48"/>
    <s v="MAYORISTA PURO"/>
    <s v="CREMA"/>
    <s v="CARRILLO GALARZA MARCO ANTONIOCREMA"/>
    <n v="400"/>
    <n v="400"/>
    <n v="400"/>
    <n v="1200"/>
    <n v="1.4999999999999999E-2"/>
    <n v="18"/>
    <n v="19.8"/>
    <n v="0"/>
    <n v="0"/>
    <n v="0"/>
    <m/>
    <n v="0"/>
    <n v="0"/>
  </r>
  <r>
    <x v="2"/>
    <x v="48"/>
    <s v="MAYORISTA PURO"/>
    <s v="LIQUIDO"/>
    <s v="CARRILLO GALARZA MARCO ANTONIOLIQUIDO"/>
    <n v="250"/>
    <n v="250"/>
    <n v="250"/>
    <n v="750"/>
    <n v="1.4999999999999999E-2"/>
    <n v="11.25"/>
    <n v="12.375000000000002"/>
    <n v="0"/>
    <n v="0"/>
    <n v="0"/>
    <m/>
    <n v="0"/>
    <n v="0"/>
  </r>
  <r>
    <x v="2"/>
    <x v="48"/>
    <s v="MAYORISTA PURO"/>
    <s v="POLVO DETERGENTE"/>
    <s v="CARRILLO GALARZA MARCO ANTONIOPOLVO DETERGENTE"/>
    <n v="8300"/>
    <n v="8300"/>
    <n v="8300"/>
    <n v="24900"/>
    <n v="1.4999999999999999E-2"/>
    <n v="373.5"/>
    <n v="410.85"/>
    <n v="0"/>
    <n v="0"/>
    <n v="0"/>
    <m/>
    <n v="0"/>
    <n v="0"/>
  </r>
  <r>
    <x v="2"/>
    <x v="48"/>
    <s v="MAYORISTA PURO"/>
    <s v="OTRAS CATEGORIAS"/>
    <s v="CARRILLO GALARZA MARCO ANTONIOOTRAS CATEGORIAS"/>
    <n v="60"/>
    <n v="60"/>
    <n v="60"/>
    <n v="180"/>
    <n v="1.4999999999999999E-2"/>
    <n v="2.6999999999999997"/>
    <n v="2.97"/>
    <n v="0"/>
    <n v="0"/>
    <n v="0"/>
    <m/>
    <n v="0"/>
    <n v="0"/>
  </r>
  <r>
    <x v="3"/>
    <x v="49"/>
    <s v="AUTOSERVICIO INDEPENDIENTE"/>
    <s v="BARRA"/>
    <s v="CAIVEL S.A.BARRA"/>
    <n v="3479.37"/>
    <n v="3479.37"/>
    <n v="3479.37"/>
    <n v="10438.11"/>
    <n v="1.4999999999999999E-2"/>
    <n v="156.57165000000001"/>
    <n v="172.22881500000003"/>
    <n v="0"/>
    <n v="6933.340799999999"/>
    <n v="3136.6000000000004"/>
    <m/>
    <n v="10069.9408"/>
    <n v="0.96472836557576036"/>
  </r>
  <r>
    <x v="3"/>
    <x v="49"/>
    <s v="AUTOSERVICIO INDEPENDIENTE"/>
    <s v="CREMA"/>
    <s v="CAIVEL S.A.CREMA"/>
    <n v="4414.84"/>
    <n v="4414.84"/>
    <n v="4414.84"/>
    <n v="13244.52"/>
    <n v="3.5000000000000003E-2"/>
    <n v="463.55820000000006"/>
    <n v="509.91402000000011"/>
    <n v="6850.9536000000016"/>
    <n v="6508.7663999999995"/>
    <n v="216.96"/>
    <m/>
    <n v="13576.68"/>
    <n v="1.0250790515624575"/>
  </r>
  <r>
    <x v="3"/>
    <x v="49"/>
    <s v="AUTOSERVICIO INDEPENDIENTE"/>
    <s v="LIQUIDO"/>
    <s v="CAIVEL S.A.LIQUIDO"/>
    <n v="1470.88"/>
    <n v="1470.88"/>
    <n v="1470.88"/>
    <n v="4412.6400000000003"/>
    <n v="1.4999999999999999E-2"/>
    <n v="66.189599999999999"/>
    <n v="72.80856"/>
    <n v="1850.904"/>
    <n v="906.91200000000015"/>
    <n v="1948.32"/>
    <m/>
    <n v="4706.1360000000004"/>
    <n v="1.0665125639073207"/>
  </r>
  <r>
    <x v="3"/>
    <x v="49"/>
    <s v="AUTOSERVICIO INDEPENDIENTE"/>
    <s v="POLVO DETERGENTE"/>
    <s v="CAIVEL S.A.POLVO DETERGENTE"/>
    <n v="14841.31"/>
    <n v="14841.31"/>
    <n v="14841.31"/>
    <n v="44523.93"/>
    <n v="4.4999999999999998E-2"/>
    <n v="2003.5768499999999"/>
    <n v="2203.9345350000003"/>
    <n v="29666.076799999999"/>
    <n v="16147.4048"/>
    <n v="8907.1871999999985"/>
    <m/>
    <n v="54720.668799999999"/>
    <n v="1.2290170431945249"/>
  </r>
  <r>
    <x v="3"/>
    <x v="49"/>
    <s v="AUTOSERVICIO INDEPENDIENTE"/>
    <s v="OTRAS CATEGORIAS"/>
    <s v="CAIVEL S.A.OTRAS CATEGORIAS"/>
    <m/>
    <m/>
    <m/>
    <n v="0"/>
    <m/>
    <n v="0"/>
    <n v="0"/>
    <n v="0"/>
    <n v="0"/>
    <n v="0"/>
    <m/>
    <n v="0"/>
    <n v="0"/>
  </r>
  <r>
    <x v="1"/>
    <x v="50"/>
    <s v="AUTOSERVICIO INDEPENDIENTE"/>
    <s v="BARRA"/>
    <s v="COMISARIATO ELSITIO C.L.BARRA"/>
    <n v="1366"/>
    <n v="1366"/>
    <n v="1366"/>
    <n v="4098"/>
    <n v="0.01"/>
    <n v="40.980000000000004"/>
    <n v="45.078000000000003"/>
    <n v="0"/>
    <n v="0"/>
    <n v="0"/>
    <m/>
    <n v="0"/>
    <n v="0"/>
  </r>
  <r>
    <x v="1"/>
    <x v="50"/>
    <s v="AUTOSERVICIO INDEPENDIENTE"/>
    <s v="CREMA"/>
    <s v="COMISARIATO ELSITIO C.L.CREMA"/>
    <n v="7267"/>
    <n v="7267"/>
    <n v="7267"/>
    <n v="21801"/>
    <n v="0.01"/>
    <n v="218.01"/>
    <n v="239.81100000000004"/>
    <n v="11427.1288"/>
    <n v="21669.024000000001"/>
    <n v="2712"/>
    <m/>
    <n v="35808.152800000003"/>
    <n v="1.6425004724553922"/>
  </r>
  <r>
    <x v="1"/>
    <x v="50"/>
    <s v="AUTOSERVICIO INDEPENDIENTE"/>
    <s v="LIQUIDO"/>
    <s v="COMISARIATO ELSITIO C.L.LIQUIDO"/>
    <n v="539"/>
    <n v="539"/>
    <n v="539"/>
    <n v="1617"/>
    <n v="0.01"/>
    <n v="16.170000000000002"/>
    <n v="17.787000000000003"/>
    <n v="0"/>
    <n v="0"/>
    <n v="0"/>
    <m/>
    <n v="0"/>
    <n v="0"/>
  </r>
  <r>
    <x v="1"/>
    <x v="50"/>
    <s v="AUTOSERVICIO INDEPENDIENTE"/>
    <s v="POLVO DETERGENTE"/>
    <s v="COMISARIATO ELSITIO C.L.POLVO DETERGENTE"/>
    <n v="4200"/>
    <n v="4200"/>
    <n v="4200"/>
    <n v="12600"/>
    <n v="0.01"/>
    <n v="126"/>
    <n v="138.60000000000002"/>
    <n v="13183.430400000001"/>
    <n v="0"/>
    <n v="0"/>
    <m/>
    <n v="13183.430400000001"/>
    <n v="1.0463040000000001"/>
  </r>
  <r>
    <x v="1"/>
    <x v="50"/>
    <s v="AUTOSERVICIO INDEPENDIENTE"/>
    <s v="OTRAS CATEGORIAS"/>
    <s v="COMISARIATO ELSITIO C.L.OTRAS CATEGORIAS"/>
    <m/>
    <m/>
    <m/>
    <m/>
    <m/>
    <n v="0"/>
    <n v="0"/>
    <n v="376.12800000000004"/>
    <n v="0"/>
    <n v="0"/>
    <m/>
    <n v="376.12800000000004"/>
    <n v="0"/>
  </r>
  <r>
    <x v="1"/>
    <x v="51"/>
    <s v="AUTOSERVICIO INDEPENDIENTE"/>
    <s v="BARRA"/>
    <s v="BUSTAMANTE RAMIRO OSWALDOBARRA"/>
    <n v="93"/>
    <n v="93"/>
    <n v="93"/>
    <n v="279"/>
    <n v="1.4999999999999999E-2"/>
    <n v="4.1849999999999996"/>
    <n v="4.6035000000000004"/>
    <n v="75.883199999999988"/>
    <n v="227.64960000000002"/>
    <n v="240.53280000000001"/>
    <m/>
    <n v="544.06560000000002"/>
    <n v="1.9500559139784948"/>
  </r>
  <r>
    <x v="1"/>
    <x v="51"/>
    <s v="AUTOSERVICIO INDEPENDIENTE"/>
    <s v="CREMA"/>
    <s v="BUSTAMANTE RAMIRO OSWALDOCREMA"/>
    <n v="2191"/>
    <n v="2191"/>
    <n v="2191"/>
    <n v="6573"/>
    <n v="1.4999999999999999E-2"/>
    <n v="98.594999999999999"/>
    <n v="108.4545"/>
    <n v="542.4"/>
    <n v="1084.8"/>
    <n v="1938.0437999999997"/>
    <m/>
    <n v="3565.2437999999993"/>
    <n v="0.54240739388407111"/>
  </r>
  <r>
    <x v="1"/>
    <x v="51"/>
    <s v="AUTOSERVICIO INDEPENDIENTE"/>
    <s v="LIQUIDO"/>
    <s v="BUSTAMANTE RAMIRO OSWALDOLIQUIDO"/>
    <n v="33"/>
    <n v="33"/>
    <n v="33"/>
    <n v="99"/>
    <n v="1.4999999999999999E-2"/>
    <n v="1.4849999999999999"/>
    <n v="1.6335"/>
    <n v="0"/>
    <n v="21.830400000000001"/>
    <n v="97.416000000000011"/>
    <m/>
    <n v="119.24640000000001"/>
    <n v="1.204509090909091"/>
  </r>
  <r>
    <x v="1"/>
    <x v="51"/>
    <s v="AUTOSERVICIO INDEPENDIENTE"/>
    <s v="POLVO DETERGENTE"/>
    <s v="BUSTAMANTE RAMIRO OSWALDOPOLVO DETERGENTE"/>
    <n v="872"/>
    <n v="872"/>
    <n v="872"/>
    <n v="2616"/>
    <n v="1.4999999999999999E-2"/>
    <n v="39.24"/>
    <n v="43.164000000000001"/>
    <n v="0"/>
    <n v="2496.7232000000004"/>
    <n v="398.32319999999999"/>
    <m/>
    <n v="2895.0464000000002"/>
    <n v="1.1066691131498472"/>
  </r>
  <r>
    <x v="1"/>
    <x v="51"/>
    <s v="AUTOSERVICIO INDEPENDIENTE"/>
    <s v="OTRAS CATEGORIAS"/>
    <s v="BUSTAMANTE RAMIRO OSWALDOOTRAS CATEGORIAS"/>
    <m/>
    <m/>
    <m/>
    <n v="0"/>
    <m/>
    <n v="0"/>
    <n v="0"/>
    <n v="0"/>
    <n v="0"/>
    <n v="47.015999999999998"/>
    <m/>
    <n v="47.015999999999998"/>
    <n v="0"/>
  </r>
  <r>
    <x v="3"/>
    <x v="52"/>
    <s v="AUTOSERVICIO INDEPENDIENTE"/>
    <s v="BARRA"/>
    <s v="LOMBEIDA GONZALEZ JENNY SILVANABARRA"/>
    <n v="631.66"/>
    <n v="631.66"/>
    <n v="631.66"/>
    <n v="1894.98"/>
    <n v="1.4999999999999999E-2"/>
    <n v="28.424699999999998"/>
    <n v="31.26717"/>
    <n v="0"/>
    <n v="0"/>
    <n v="447.64800000000002"/>
    <m/>
    <n v="447.64800000000002"/>
    <n v="0.23622835069499415"/>
  </r>
  <r>
    <x v="3"/>
    <x v="52"/>
    <s v="AUTOSERVICIO INDEPENDIENTE"/>
    <s v="CREMA"/>
    <s v="LOMBEIDA GONZALEZ JENNY SILVANACREMA"/>
    <n v="1022"/>
    <n v="1022"/>
    <n v="1022"/>
    <n v="3066"/>
    <n v="3.5000000000000003E-2"/>
    <n v="107.31000000000002"/>
    <n v="118.04100000000003"/>
    <n v="0"/>
    <n v="0"/>
    <n v="1346.8163999999997"/>
    <m/>
    <n v="1346.8163999999997"/>
    <n v="0.4392747553816046"/>
  </r>
  <r>
    <x v="3"/>
    <x v="52"/>
    <s v="AUTOSERVICIO INDEPENDIENTE"/>
    <s v="LIQUIDO"/>
    <s v="LOMBEIDA GONZALEZ JENNY SILVANALIQUIDO"/>
    <n v="200"/>
    <n v="200"/>
    <n v="200"/>
    <n v="600"/>
    <n v="1.4999999999999999E-2"/>
    <n v="9"/>
    <n v="9.9"/>
    <n v="0"/>
    <n v="0"/>
    <n v="207.05279999999999"/>
    <m/>
    <n v="207.05279999999999"/>
    <n v="0.34508800000000001"/>
  </r>
  <r>
    <x v="3"/>
    <x v="52"/>
    <s v="AUTOSERVICIO INDEPENDIENTE"/>
    <s v="POLVO DETERGENTE"/>
    <s v="LOMBEIDA GONZALEZ JENNY SILVANAPOLVO DETERGENTE"/>
    <n v="852.75"/>
    <n v="852.75"/>
    <n v="852.75"/>
    <n v="2558.25"/>
    <n v="4.4999999999999998E-2"/>
    <n v="115.12124999999999"/>
    <n v="126.633375"/>
    <n v="0"/>
    <n v="0"/>
    <n v="586.88599999999997"/>
    <m/>
    <n v="586.88599999999997"/>
    <n v="0.22940916642235903"/>
  </r>
  <r>
    <x v="3"/>
    <x v="52"/>
    <s v="AUTOSERVICIO INDEPENDIENTE"/>
    <s v="OTRAS CATEGORIAS"/>
    <s v="LOMBEIDA GONZALEZ JENNY SILVANAOTRAS CATEGORIAS"/>
    <m/>
    <m/>
    <m/>
    <n v="0"/>
    <m/>
    <n v="0"/>
    <n v="0"/>
    <n v="0"/>
    <n v="0"/>
    <n v="0"/>
    <m/>
    <n v="0"/>
    <n v="0"/>
  </r>
  <r>
    <x v="3"/>
    <x v="53"/>
    <s v="AUTOSERVICIO INDEPENDIENTE"/>
    <s v="BARRA"/>
    <s v="BRAVO MORETA DORIS VANESSA (SUPER DESPENSA POLITA)BARRA"/>
    <n v="1744.75"/>
    <n v="1744.75"/>
    <n v="1744.75"/>
    <n v="5234.25"/>
    <n v="1.4999999999999999E-2"/>
    <n v="78.513750000000002"/>
    <n v="86.365125000000006"/>
    <n v="1438.1828"/>
    <n v="4743.756800000001"/>
    <n v="0"/>
    <m/>
    <n v="6181.9396000000015"/>
    <n v="1.1810554711754313"/>
  </r>
  <r>
    <x v="3"/>
    <x v="53"/>
    <s v="AUTOSERVICIO INDEPENDIENTE"/>
    <s v="CREMA"/>
    <s v="BRAVO MORETA DORIS VANESSA (SUPER DESPENSA POLITA)CREMA"/>
    <n v="1758.42"/>
    <n v="1758.42"/>
    <n v="1758.42"/>
    <n v="5275.26"/>
    <n v="3.5000000000000003E-2"/>
    <n v="184.63410000000002"/>
    <n v="203.09751000000006"/>
    <n v="2673.8123999999993"/>
    <n v="2359.7148000000002"/>
    <n v="0"/>
    <m/>
    <n v="5033.5271999999995"/>
    <n v="0.95417613539427426"/>
  </r>
  <r>
    <x v="3"/>
    <x v="53"/>
    <s v="AUTOSERVICIO INDEPENDIENTE"/>
    <s v="LIQUIDO"/>
    <s v="BRAVO MORETA DORIS VANESSA (SUPER DESPENSA POLITA)LIQUIDO"/>
    <n v="1035.83"/>
    <n v="1035.83"/>
    <n v="1035.83"/>
    <n v="3107.49"/>
    <n v="1.4999999999999999E-2"/>
    <n v="46.612349999999992"/>
    <n v="51.273584999999997"/>
    <n v="1779.5375999999997"/>
    <n v="877.82399999999984"/>
    <n v="0"/>
    <m/>
    <n v="2657.3615999999993"/>
    <n v="0.85514727320120076"/>
  </r>
  <r>
    <x v="3"/>
    <x v="53"/>
    <s v="AUTOSERVICIO INDEPENDIENTE"/>
    <s v="POLVO DETERGENTE"/>
    <s v="BRAVO MORETA DORIS VANESSA (SUPER DESPENSA POLITA)POLVO DETERGENTE"/>
    <n v="4585.32"/>
    <n v="4585.32"/>
    <n v="4585.32"/>
    <n v="13755.96"/>
    <n v="4.4999999999999998E-2"/>
    <n v="619.01819999999998"/>
    <n v="680.92002000000002"/>
    <n v="9082.5480000000007"/>
    <n v="7625.4066000000003"/>
    <n v="0"/>
    <m/>
    <n v="16707.954600000001"/>
    <n v="1.2145974981026408"/>
  </r>
  <r>
    <x v="3"/>
    <x v="53"/>
    <s v="AUTOSERVICIO INDEPENDIENTE"/>
    <s v="OTRAS CATEGORIAS"/>
    <s v="BRAVO MORETA DORIS VANESSA (SUPER DESPENSA POLITA)OTRAS CATEGORIAS"/>
    <m/>
    <m/>
    <m/>
    <n v="0"/>
    <m/>
    <n v="0"/>
    <n v="0"/>
    <n v="0"/>
    <n v="0"/>
    <n v="0"/>
    <m/>
    <n v="0"/>
    <n v="0"/>
  </r>
  <r>
    <x v="0"/>
    <x v="54"/>
    <s v="AUTOSERVICIO INDEPENDIENTE"/>
    <s v="BARRA"/>
    <s v="BRAVO CEDEÑO NELSON RENEBARRA"/>
    <n v="700"/>
    <n v="700"/>
    <n v="700"/>
    <n v="2100"/>
    <n v="1.4999999999999999E-2"/>
    <n v="31.5"/>
    <n v="34.65"/>
    <n v="1001.5855999999999"/>
    <n v="387.59199999999998"/>
    <n v="1643.1167999999998"/>
    <m/>
    <n v="3032.2943999999998"/>
    <n v="1.4439497142857143"/>
  </r>
  <r>
    <x v="0"/>
    <x v="54"/>
    <s v="AUTOSERVICIO INDEPENDIENTE"/>
    <s v="CREMA"/>
    <s v="BRAVO CEDEÑO NELSON RENECREMA"/>
    <n v="2517.7000000000003"/>
    <n v="2517.7000000000003"/>
    <n v="2517.7000000000003"/>
    <n v="7553.1"/>
    <n v="3.5000000000000003E-2"/>
    <n v="264.35850000000005"/>
    <n v="290.79435000000007"/>
    <n v="3227.670000000001"/>
    <n v="1468.3199999999995"/>
    <n v="2247.0996000000005"/>
    <m/>
    <n v="6943.0896000000012"/>
    <n v="0.91923708146324035"/>
  </r>
  <r>
    <x v="0"/>
    <x v="54"/>
    <s v="AUTOSERVICIO INDEPENDIENTE"/>
    <s v="LIQUIDO"/>
    <s v="BRAVO CEDEÑO NELSON RENELIQUIDO"/>
    <n v="100"/>
    <n v="100"/>
    <n v="100"/>
    <n v="300"/>
    <n v="1.4999999999999999E-2"/>
    <n v="4.5"/>
    <n v="4.95"/>
    <n v="147.477"/>
    <n v="0"/>
    <n v="130.98240000000001"/>
    <m/>
    <n v="278.45940000000002"/>
    <n v="0.92819800000000008"/>
  </r>
  <r>
    <x v="0"/>
    <x v="54"/>
    <s v="AUTOSERVICIO INDEPENDIENTE"/>
    <s v="POLVO DETERGENTE"/>
    <s v="BRAVO CEDEÑO NELSON RENEPOLVO DETERGENTE"/>
    <n v="3070.5400000000004"/>
    <n v="3070.5400000000004"/>
    <n v="3070.5400000000004"/>
    <n v="9211.6200000000008"/>
    <n v="4.4999999999999998E-2"/>
    <n v="414.52289999999999"/>
    <n v="455.97519000000005"/>
    <n v="6201.2679999999982"/>
    <n v="2881.7647999999999"/>
    <n v="2624.6400000000003"/>
    <m/>
    <n v="11707.672799999997"/>
    <n v="1.2709678427898672"/>
  </r>
  <r>
    <x v="0"/>
    <x v="54"/>
    <s v="AUTOSERVICIO INDEPENDIENTE"/>
    <s v="OTRAS CATEGORIAS"/>
    <s v="BRAVO CEDEÑO NELSON RENEOTRAS CATEGORIAS"/>
    <n v="10"/>
    <n v="10"/>
    <n v="10"/>
    <n v="30"/>
    <m/>
    <n v="0"/>
    <n v="0"/>
    <n v="0"/>
    <n v="0"/>
    <n v="0"/>
    <m/>
    <n v="0"/>
    <n v="0"/>
  </r>
  <r>
    <x v="0"/>
    <x v="55"/>
    <s v="AUTOSERVICIO INDEPENDIENTE"/>
    <s v="BARRA"/>
    <s v="AVEIGA FALCONES DANY MARONBARRA"/>
    <n v="1337"/>
    <n v="1337"/>
    <n v="1337"/>
    <n v="4011"/>
    <n v="1.4999999999999999E-2"/>
    <n v="60.164999999999999"/>
    <n v="66.1815"/>
    <n v="0.73460000000000003"/>
    <n v="0.503"/>
    <n v="4009.8144000000002"/>
    <m/>
    <n v="4011.0520000000001"/>
    <n v="1.0000129643480429"/>
  </r>
  <r>
    <x v="0"/>
    <x v="55"/>
    <s v="AUTOSERVICIO INDEPENDIENTE"/>
    <s v="CREMA"/>
    <s v="AVEIGA FALCONES DANY MARONCREMA"/>
    <n v="2700"/>
    <n v="2700"/>
    <n v="2700"/>
    <n v="8100"/>
    <n v="3.5000000000000003E-2"/>
    <n v="283.5"/>
    <n v="311.85000000000002"/>
    <n v="0.73499999999999999"/>
    <n v="0.73499999999999999"/>
    <n v="6883.8048000000017"/>
    <m/>
    <n v="6885.274800000002"/>
    <n v="0.85003392592592619"/>
  </r>
  <r>
    <x v="0"/>
    <x v="55"/>
    <s v="AUTOSERVICIO INDEPENDIENTE"/>
    <s v="LIQUIDO"/>
    <s v="AVEIGA FALCONES DANY MARONLIQUIDO"/>
    <n v="900"/>
    <n v="900"/>
    <n v="900"/>
    <n v="2700"/>
    <n v="1.4999999999999999E-2"/>
    <n v="40.5"/>
    <n v="44.550000000000004"/>
    <n v="2.0806"/>
    <n v="1656.0719999999999"/>
    <n v="2540.0591999999997"/>
    <m/>
    <n v="4198.2117999999991"/>
    <n v="1.554893259259259"/>
  </r>
  <r>
    <x v="0"/>
    <x v="55"/>
    <s v="AUTOSERVICIO INDEPENDIENTE"/>
    <s v="POLVO DETERGENTE"/>
    <s v="AVEIGA FALCONES DANY MARONPOLVO DETERGENTE"/>
    <n v="3800"/>
    <n v="3800"/>
    <n v="3800"/>
    <n v="11400"/>
    <n v="4.4999999999999998E-2"/>
    <n v="513"/>
    <n v="564.30000000000007"/>
    <n v="0.73480000000000001"/>
    <n v="0.73480000000000001"/>
    <n v="11480.865599999999"/>
    <m/>
    <n v="11482.3352"/>
    <n v="1.0072223859649123"/>
  </r>
  <r>
    <x v="0"/>
    <x v="55"/>
    <s v="AUTOSERVICIO INDEPENDIENTE"/>
    <s v="OTRAS CATEGORIAS"/>
    <s v="AVEIGA FALCONES DANY MARONOTRAS CATEGORIAS"/>
    <n v="20"/>
    <n v="20"/>
    <n v="20"/>
    <n v="60"/>
    <m/>
    <n v="0"/>
    <n v="0"/>
    <n v="0"/>
    <n v="0"/>
    <n v="0"/>
    <m/>
    <n v="0"/>
    <n v="0"/>
  </r>
  <r>
    <x v="0"/>
    <x v="56"/>
    <s v="AUTOSERVICIO INDEPENDIENTE"/>
    <s v="BARRA"/>
    <s v="ARBOLEDA VACA LETTY VIRGINIABARRA"/>
    <n v="3950"/>
    <n v="3950"/>
    <n v="3950"/>
    <n v="11850"/>
    <n v="1.4999999999999999E-2"/>
    <n v="177.75"/>
    <n v="195.52500000000003"/>
    <n v="3075.4924000000005"/>
    <n v="3964.15"/>
    <n v="4667.155600000001"/>
    <m/>
    <n v="11706.798000000003"/>
    <n v="0.98791544303797485"/>
  </r>
  <r>
    <x v="0"/>
    <x v="56"/>
    <s v="AUTOSERVICIO INDEPENDIENTE"/>
    <s v="CREMA"/>
    <s v="ARBOLEDA VACA LETTY VIRGINIACREMA"/>
    <n v="4000"/>
    <n v="4000"/>
    <n v="4000"/>
    <n v="12000"/>
    <n v="3.5000000000000003E-2"/>
    <n v="420.00000000000006"/>
    <n v="462.00000000000011"/>
    <n v="3444.1812000000004"/>
    <n v="4535.4414000000015"/>
    <n v="4287.8543999999993"/>
    <m/>
    <n v="12267.477000000003"/>
    <n v="1.0222897500000001"/>
  </r>
  <r>
    <x v="0"/>
    <x v="56"/>
    <s v="AUTOSERVICIO INDEPENDIENTE"/>
    <s v="LIQUIDO"/>
    <s v="ARBOLEDA VACA LETTY VIRGINIALIQUIDO"/>
    <n v="2500"/>
    <n v="2500"/>
    <n v="2500"/>
    <n v="7500"/>
    <n v="1.4999999999999999E-2"/>
    <n v="112.5"/>
    <n v="123.75"/>
    <n v="3022.0479999999989"/>
    <n v="3351.1775999999991"/>
    <n v="4205.2351999999992"/>
    <m/>
    <n v="10578.460799999997"/>
    <n v="1.4104614399999995"/>
  </r>
  <r>
    <x v="0"/>
    <x v="56"/>
    <s v="AUTOSERVICIO INDEPENDIENTE"/>
    <s v="POLVO DETERGENTE"/>
    <s v="ARBOLEDA VACA LETTY VIRGINIAPOLVO DETERGENTE"/>
    <n v="15000"/>
    <n v="15000"/>
    <n v="15000"/>
    <n v="45000"/>
    <n v="4.4999999999999998E-2"/>
    <n v="2025"/>
    <n v="2227.5000000000005"/>
    <n v="4832.1376000000009"/>
    <n v="16511.933799999999"/>
    <n v="20541.838"/>
    <m/>
    <n v="41885.909400000004"/>
    <n v="0.9307979866666668"/>
  </r>
  <r>
    <x v="0"/>
    <x v="56"/>
    <s v="AUTOSERVICIO INDEPENDIENTE"/>
    <s v="OTRAS CATEGORIAS"/>
    <s v="ARBOLEDA VACA LETTY VIRGINIAOTRAS CATEGORIAS"/>
    <n v="30"/>
    <n v="30"/>
    <n v="30"/>
    <n v="90"/>
    <m/>
    <n v="0"/>
    <n v="0"/>
    <n v="0"/>
    <n v="70.524000000000001"/>
    <n v="70.524000000000001"/>
    <m/>
    <n v="141.048"/>
    <n v="1.5671999999999999"/>
  </r>
  <r>
    <x v="0"/>
    <x v="57"/>
    <s v="AUTOSERVICIO INDEPENDIENTE"/>
    <s v="BARRA"/>
    <s v="MACIAS CEDEÑO CESAR ENRIQUEBARRA"/>
    <n v="2500"/>
    <n v="2500"/>
    <n v="2500"/>
    <n v="7500"/>
    <n v="1.4999999999999999E-2"/>
    <n v="112.5"/>
    <n v="123.75"/>
    <n v="2995.2"/>
    <n v="2752.3968"/>
    <n v="4452.4704000000002"/>
    <m/>
    <n v="10200.0672"/>
    <n v="1.36000896"/>
  </r>
  <r>
    <x v="0"/>
    <x v="57"/>
    <s v="AUTOSERVICIO INDEPENDIENTE"/>
    <s v="CREMA"/>
    <s v="MACIAS CEDEÑO CESAR ENRIQUECREMA"/>
    <n v="3993.75"/>
    <n v="3993.75"/>
    <n v="3993.75"/>
    <n v="11981.25"/>
    <n v="3.5000000000000003E-2"/>
    <n v="419.34375000000006"/>
    <n v="461.2781250000001"/>
    <n v="7767.9132000000018"/>
    <n v="4246.3152000000009"/>
    <n v="7905.9312000000018"/>
    <m/>
    <n v="19920.159600000006"/>
    <n v="1.6626111298904545"/>
  </r>
  <r>
    <x v="0"/>
    <x v="57"/>
    <s v="AUTOSERVICIO INDEPENDIENTE"/>
    <s v="LIQUIDO"/>
    <s v="MACIAS CEDEÑO CESAR ENRIQUELIQUIDO"/>
    <n v="740"/>
    <n v="740"/>
    <n v="740"/>
    <n v="2220"/>
    <n v="1.4999999999999999E-2"/>
    <n v="33.299999999999997"/>
    <n v="36.629999999999995"/>
    <n v="2714.0848000000005"/>
    <n v="1939.7664000000002"/>
    <n v="755.19360000000006"/>
    <m/>
    <n v="5409.0448000000015"/>
    <n v="2.4365066666666673"/>
  </r>
  <r>
    <x v="0"/>
    <x v="57"/>
    <s v="AUTOSERVICIO INDEPENDIENTE"/>
    <s v="POLVO DETERGENTE"/>
    <s v="MACIAS CEDEÑO CESAR ENRIQUEPOLVO DETERGENTE"/>
    <n v="9580"/>
    <n v="9580"/>
    <n v="9580"/>
    <n v="28740"/>
    <n v="4.4999999999999998E-2"/>
    <n v="1293.3"/>
    <n v="1422.63"/>
    <n v="10425.8688"/>
    <n v="8394.112000000001"/>
    <n v="10315.345600000001"/>
    <m/>
    <n v="29135.326400000002"/>
    <n v="1.0137552679192763"/>
  </r>
  <r>
    <x v="0"/>
    <x v="57"/>
    <s v="AUTOSERVICIO INDEPENDIENTE"/>
    <s v="OTRAS CATEGORIAS"/>
    <s v="MACIAS CEDEÑO CESAR ENRIQUEOTRAS CATEGORIAS"/>
    <n v="30"/>
    <n v="30"/>
    <n v="30"/>
    <n v="90"/>
    <m/>
    <n v="0"/>
    <n v="0"/>
    <n v="0"/>
    <n v="0"/>
    <n v="0"/>
    <m/>
    <n v="0"/>
    <n v="0"/>
  </r>
  <r>
    <x v="0"/>
    <x v="58"/>
    <s v="AUTOSERVICIO INDEPENDIENTE"/>
    <s v="BARRA"/>
    <s v="ANDRADE ANDRADE GEMA LUCIABARRA"/>
    <n v="1150"/>
    <n v="1150"/>
    <n v="1150"/>
    <n v="3450"/>
    <n v="1.4999999999999999E-2"/>
    <n v="51.75"/>
    <n v="56.925000000000004"/>
    <n v="311.96159999999998"/>
    <n v="0"/>
    <n v="223.82400000000001"/>
    <m/>
    <n v="535.78559999999993"/>
    <n v="0.15530017391304346"/>
  </r>
  <r>
    <x v="0"/>
    <x v="58"/>
    <s v="AUTOSERVICIO INDEPENDIENTE"/>
    <s v="CREMA"/>
    <s v="ANDRADE ANDRADE GEMA LUCIACREMA"/>
    <n v="2350"/>
    <n v="2350"/>
    <n v="2350"/>
    <n v="7050"/>
    <n v="3.5000000000000003E-2"/>
    <n v="246.75000000000003"/>
    <n v="271.42500000000007"/>
    <n v="1302.6587999999999"/>
    <n v="0"/>
    <n v="0"/>
    <m/>
    <n v="1302.6587999999999"/>
    <n v="0.18477429787234043"/>
  </r>
  <r>
    <x v="0"/>
    <x v="58"/>
    <s v="AUTOSERVICIO INDEPENDIENTE"/>
    <s v="LIQUIDO"/>
    <s v="ANDRADE ANDRADE GEMA LUCIALIQUIDO"/>
    <n v="100"/>
    <n v="100"/>
    <n v="100"/>
    <n v="300"/>
    <n v="1.4999999999999999E-2"/>
    <n v="4.5"/>
    <n v="4.95"/>
    <n v="489.16060000000004"/>
    <n v="0"/>
    <n v="0"/>
    <m/>
    <n v="489.16060000000004"/>
    <n v="1.6305353333333334"/>
  </r>
  <r>
    <x v="0"/>
    <x v="58"/>
    <s v="AUTOSERVICIO INDEPENDIENTE"/>
    <s v="POLVO DETERGENTE"/>
    <s v="ANDRADE ANDRADE GEMA LUCIAPOLVO DETERGENTE"/>
    <n v="3600"/>
    <n v="3600"/>
    <n v="3600"/>
    <n v="10800"/>
    <n v="4.4999999999999998E-2"/>
    <n v="486"/>
    <n v="534.6"/>
    <n v="8480.5151999999998"/>
    <n v="0"/>
    <n v="523.15200000000004"/>
    <m/>
    <n v="9003.6671999999999"/>
    <n v="0.83367288888888891"/>
  </r>
  <r>
    <x v="0"/>
    <x v="58"/>
    <s v="AUTOSERVICIO INDEPENDIENTE"/>
    <s v="OTRAS CATEGORIAS"/>
    <s v="ANDRADE ANDRADE GEMA LUCIAOTRAS CATEGORIAS"/>
    <n v="20"/>
    <n v="20"/>
    <n v="20"/>
    <n v="60"/>
    <m/>
    <n v="0"/>
    <n v="0"/>
    <n v="0"/>
    <n v="0"/>
    <n v="0"/>
    <m/>
    <n v="0"/>
    <n v="0"/>
  </r>
  <r>
    <x v="2"/>
    <x v="59"/>
    <s v="MAYORISTA PURO"/>
    <s v="BARRA"/>
    <s v="ALVARADO ORELLANA YADIRA EVELYNBARRA"/>
    <n v="2500"/>
    <n v="2500"/>
    <n v="2500"/>
    <n v="7500"/>
    <n v="1.4999999999999999E-2"/>
    <n v="112.5"/>
    <n v="123.75"/>
    <n v="4794.6000000000004"/>
    <n v="1029.6320000000001"/>
    <n v="0"/>
    <m/>
    <n v="5824.232"/>
    <n v="0.77656426666666667"/>
  </r>
  <r>
    <x v="2"/>
    <x v="59"/>
    <s v="MAYORISTA PURO"/>
    <s v="CREMA"/>
    <s v="ALVARADO ORELLANA YADIRA EVELYNCREMA"/>
    <n v="725"/>
    <n v="725"/>
    <n v="725"/>
    <n v="2175"/>
    <n v="1.4999999999999999E-2"/>
    <n v="32.625"/>
    <n v="35.887499999999996"/>
    <n v="876.23039999999992"/>
    <n v="0"/>
    <n v="341.22239999999999"/>
    <m/>
    <n v="1217.4528"/>
    <n v="0.55974841379310347"/>
  </r>
  <r>
    <x v="2"/>
    <x v="59"/>
    <s v="MAYORISTA PURO"/>
    <s v="LIQUIDO"/>
    <s v="ALVARADO ORELLANA YADIRA EVELYNLIQUIDO"/>
    <n v="250"/>
    <n v="250"/>
    <n v="250"/>
    <n v="750"/>
    <n v="1.4999999999999999E-2"/>
    <n v="11.25"/>
    <n v="12.375000000000002"/>
    <n v="0"/>
    <n v="0"/>
    <n v="0"/>
    <m/>
    <n v="0"/>
    <n v="0"/>
  </r>
  <r>
    <x v="2"/>
    <x v="59"/>
    <s v="MAYORISTA PURO"/>
    <s v="POLVO DETERGENTE"/>
    <s v="ALVARADO ORELLANA YADIRA EVELYNPOLVO DETERGENTE"/>
    <n v="4500"/>
    <n v="4500"/>
    <n v="4500"/>
    <n v="13500"/>
    <n v="1.4999999999999999E-2"/>
    <n v="202.5"/>
    <n v="222.75000000000003"/>
    <n v="6216.7943999999989"/>
    <n v="11013.683199999999"/>
    <n v="0"/>
    <m/>
    <n v="17230.477599999998"/>
    <n v="1.276331674074074"/>
  </r>
  <r>
    <x v="2"/>
    <x v="59"/>
    <s v="MAYORISTA PURO"/>
    <s v="OTRAS CATEGORIAS"/>
    <s v="ALVARADO ORELLANA YADIRA EVELYNOTRAS CATEGORIAS"/>
    <n v="60"/>
    <n v="60"/>
    <n v="60"/>
    <n v="180"/>
    <n v="1.4999999999999999E-2"/>
    <n v="2.6999999999999997"/>
    <n v="2.97"/>
    <n v="0"/>
    <n v="0"/>
    <n v="0"/>
    <m/>
    <n v="0"/>
    <n v="0"/>
  </r>
  <r>
    <x v="0"/>
    <x v="60"/>
    <s v="MAYORISTA PURO"/>
    <s v="BARRA"/>
    <s v="GLORIA DEL CARMEN FALLU VERABARRA"/>
    <n v="679"/>
    <n v="679"/>
    <n v="679"/>
    <n v="2037"/>
    <n v="1.4999999999999999E-2"/>
    <n v="30.555"/>
    <n v="33.610500000000002"/>
    <n v="1095.2239999999999"/>
    <n v="213.648"/>
    <n v="374.4"/>
    <m/>
    <n v="1683.2719999999999"/>
    <n v="0.82634855179185074"/>
  </r>
  <r>
    <x v="0"/>
    <x v="60"/>
    <s v="MAYORISTA PURO"/>
    <s v="CREMA"/>
    <s v="GLORIA DEL CARMEN FALLU VERACREMA"/>
    <n v="750"/>
    <n v="750"/>
    <n v="750"/>
    <n v="2250"/>
    <n v="3.5000000000000003E-2"/>
    <n v="78.750000000000014"/>
    <n v="86.625000000000014"/>
    <n v="1259.6063999999997"/>
    <n v="1244.5008"/>
    <n v="699.83680000000015"/>
    <m/>
    <n v="3203.9439999999995"/>
    <n v="1.423975111111111"/>
  </r>
  <r>
    <x v="0"/>
    <x v="60"/>
    <s v="MAYORISTA PURO"/>
    <s v="LIQUIDO"/>
    <s v="GLORIA DEL CARMEN FALLU VERALIQUIDO"/>
    <n v="600"/>
    <n v="600"/>
    <n v="600"/>
    <n v="1800"/>
    <n v="1.4999999999999999E-2"/>
    <n v="27"/>
    <n v="29.700000000000003"/>
    <n v="503.92800000000005"/>
    <n v="568.26"/>
    <n v="34.886400000000002"/>
    <m/>
    <n v="1107.0744000000002"/>
    <n v="0.61504133333333344"/>
  </r>
  <r>
    <x v="0"/>
    <x v="60"/>
    <s v="MAYORISTA PURO"/>
    <s v="POLVO DETERGENTE"/>
    <s v="GLORIA DEL CARMEN FALLU VERAPOLVO DETERGENTE"/>
    <n v="2500"/>
    <n v="2500"/>
    <n v="2500"/>
    <n v="7500"/>
    <n v="4.4999999999999998E-2"/>
    <n v="337.5"/>
    <n v="371.25"/>
    <n v="2148.8960000000002"/>
    <n v="2892.6815999999999"/>
    <n v="3151.3343999999997"/>
    <m/>
    <n v="8192.9120000000003"/>
    <n v="1.0923882666666667"/>
  </r>
  <r>
    <x v="0"/>
    <x v="60"/>
    <s v="MAYORISTA PURO"/>
    <s v="OTRAS CATEGORIAS"/>
    <s v="GLORIA DEL CARMEN FALLU VERAOTRAS CATEGORIAS"/>
    <n v="20"/>
    <n v="20"/>
    <n v="20"/>
    <n v="60"/>
    <m/>
    <n v="0"/>
    <n v="0"/>
    <n v="0"/>
    <n v="0"/>
    <n v="0"/>
    <m/>
    <n v="0"/>
    <n v="0"/>
  </r>
  <r>
    <x v="0"/>
    <x v="61"/>
    <s v="AUTOSERVICIO INDEPENDIENTE"/>
    <s v="BARRA"/>
    <s v="GILER ZAMBRANO MARIA PAOLABARRA"/>
    <n v="2397.34"/>
    <n v="2397.34"/>
    <n v="2397.34"/>
    <n v="7192.02"/>
    <n v="1.4999999999999999E-2"/>
    <n v="107.88030000000001"/>
    <n v="118.66833000000003"/>
    <n v="3496.424"/>
    <n v="2450.5103999999997"/>
    <n v="1436.5952000000002"/>
    <m/>
    <n v="7383.5295999999998"/>
    <n v="1.0266280683312894"/>
  </r>
  <r>
    <x v="0"/>
    <x v="61"/>
    <s v="AUTOSERVICIO INDEPENDIENTE"/>
    <s v="CREMA"/>
    <s v="GILER ZAMBRANO MARIA PAOLACREMA"/>
    <n v="3433"/>
    <n v="3433"/>
    <n v="3433"/>
    <n v="10299"/>
    <n v="3.5000000000000003E-2"/>
    <n v="360.46500000000003"/>
    <n v="396.51150000000007"/>
    <n v="3118.8047999999976"/>
    <n v="4464.460799999998"/>
    <n v="2806.1951999999987"/>
    <m/>
    <n v="10389.460799999993"/>
    <n v="1.0087834547043395"/>
  </r>
  <r>
    <x v="0"/>
    <x v="61"/>
    <s v="AUTOSERVICIO INDEPENDIENTE"/>
    <s v="LIQUIDO"/>
    <s v="GILER ZAMBRANO MARIA PAOLALIQUIDO"/>
    <n v="800"/>
    <n v="800"/>
    <n v="800"/>
    <n v="2400"/>
    <n v="1.4999999999999999E-2"/>
    <n v="36"/>
    <n v="39.6"/>
    <n v="1229.2528"/>
    <n v="587.45760000000018"/>
    <n v="1293.6095999999998"/>
    <m/>
    <n v="3110.3199999999997"/>
    <n v="1.2959666666666665"/>
  </r>
  <r>
    <x v="0"/>
    <x v="61"/>
    <s v="AUTOSERVICIO INDEPENDIENTE"/>
    <s v="POLVO DETERGENTE"/>
    <s v="GILER ZAMBRANO MARIA PAOLAPOLVO DETERGENTE"/>
    <n v="6804"/>
    <n v="6804"/>
    <n v="6804"/>
    <n v="20412"/>
    <n v="4.4999999999999998E-2"/>
    <n v="918.54"/>
    <n v="1010.394"/>
    <n v="6981.6640000000007"/>
    <n v="8493.52"/>
    <n v="5516.7072000000007"/>
    <m/>
    <n v="20991.891200000002"/>
    <n v="1.0284093278463651"/>
  </r>
  <r>
    <x v="0"/>
    <x v="61"/>
    <s v="AUTOSERVICIO INDEPENDIENTE"/>
    <s v="OTRAS CATEGORIAS"/>
    <s v="GILER ZAMBRANO MARIA PAOLAOTRAS CATEGORIAS"/>
    <n v="30"/>
    <n v="30"/>
    <n v="30"/>
    <n v="90"/>
    <m/>
    <n v="0"/>
    <n v="0"/>
    <n v="0"/>
    <n v="0"/>
    <n v="0"/>
    <m/>
    <n v="0"/>
    <n v="0"/>
  </r>
  <r>
    <x v="4"/>
    <x v="62"/>
    <m/>
    <m/>
    <m/>
    <n v="3423.4300000000003"/>
    <n v="3423.4300000000003"/>
    <n v="3423.4300000000003"/>
    <n v="10270.290000000001"/>
    <n v="0.11"/>
    <n v="332.61015000000003"/>
    <n v="365.87116500000002"/>
    <n v="1375.4084000000003"/>
    <n v="4436.9726000000001"/>
    <n v="4943.6406000000006"/>
    <m/>
    <n v="10756.0216"/>
    <n v="1.047294828091514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s v="ANDRADE ANDRADE GEMA LUCIA"/>
    <n v="0"/>
    <n v="0"/>
  </r>
  <r>
    <x v="0"/>
    <s v="ARBOLEDA VACA LETTY VIRGINIA"/>
    <n v="2613.5795880000001"/>
    <n v="750"/>
  </r>
  <r>
    <x v="0"/>
    <s v="AVEIGA FALCONES DANY MARON"/>
    <n v="862.40548200000012"/>
    <n v="540"/>
  </r>
  <r>
    <x v="0"/>
    <s v="BRAVO CEDEÑO NELSON RENE"/>
    <n v="737.81021700000019"/>
    <n v="0"/>
  </r>
  <r>
    <x v="0"/>
    <s v="CEDEÑO MEDINA WASHINGTON MONSERRATE"/>
    <n v="262.77763200000004"/>
    <n v="150"/>
  </r>
  <r>
    <x v="0"/>
    <s v="COMERCIAL CASANOVA COMCASANOVA S.A."/>
    <n v="2338.199595"/>
    <n v="510"/>
  </r>
  <r>
    <x v="0"/>
    <s v="COMERCIAL ROMERO REYNA COMRO"/>
    <n v="0"/>
    <n v="0"/>
  </r>
  <r>
    <x v="0"/>
    <s v="COMERCIALIZADORA BASURTO &amp; SACON SUPERUNO S.A."/>
    <n v="0"/>
    <n v="300"/>
  </r>
  <r>
    <x v="0"/>
    <s v="GILER ZAMBRANO MARIA PAOLA"/>
    <n v="1458.6191759999999"/>
    <n v="330"/>
  </r>
  <r>
    <x v="0"/>
    <s v="GLORIA DEL CARMEN FALLU VERA"/>
    <n v="480.55511999999999"/>
    <n v="0"/>
  </r>
  <r>
    <x v="0"/>
    <s v="MACIAS CEDEÑO CESAR ENRIQUE"/>
    <n v="1932.747813"/>
    <n v="1050"/>
  </r>
  <r>
    <x v="0"/>
    <s v="PALMA CEDEÑO WALTER ALEJANDRO"/>
    <n v="940.10965800000008"/>
    <n v="360"/>
  </r>
  <r>
    <x v="0"/>
    <s v="PIGUAVE BELLO CATTY"/>
    <n v="278.63874900000002"/>
    <n v="0"/>
  </r>
  <r>
    <x v="0"/>
    <s v="ROBERT - PONCE COMPANY S.A.S"/>
    <n v="0"/>
    <n v="0"/>
  </r>
  <r>
    <x v="0"/>
    <s v="URETA MENDOZA ERMEL RUBEN"/>
    <n v="0"/>
    <n v="0"/>
  </r>
  <r>
    <x v="0"/>
    <s v="URETA MENDOZA YIMMY ANTONIO"/>
    <n v="793.79265600000008"/>
    <n v="510"/>
  </r>
  <r>
    <x v="0"/>
    <s v="WANG CHONG LONG"/>
    <n v="0"/>
    <n v="0"/>
  </r>
  <r>
    <x v="0"/>
    <s v="ZAMBRANO MACIAS FRANCISCO GREGORIO"/>
    <n v="983.01885600000003"/>
    <n v="150"/>
  </r>
  <r>
    <x v="0"/>
    <s v="ZAMBRANO MOLINA JORGE EDUARDO"/>
    <n v="347.63943599999999"/>
    <n v="330"/>
  </r>
  <r>
    <x v="0"/>
    <s v="ZAMBRANO VALENCIA MARGARITA"/>
    <n v="0"/>
    <n v="0"/>
  </r>
  <r>
    <x v="0"/>
    <s v="ZAMBRANO ZAMBRANO CLEYTON ELIECER"/>
    <n v="420.35262900000009"/>
    <n v="0"/>
  </r>
  <r>
    <x v="1"/>
    <m/>
    <n v="14450.246607000001"/>
    <n v="4980"/>
  </r>
  <r>
    <x v="2"/>
    <s v="BUSTAMANTE RAMIRO OSWALDO"/>
    <n v="0"/>
    <n v="450"/>
  </r>
  <r>
    <x v="2"/>
    <s v="COMISARIATO ELSITIO C.L."/>
    <n v="371.64530400000001"/>
    <n v="270"/>
  </r>
  <r>
    <x v="2"/>
    <s v="DISTRIBUIDORA SUPERALIANZA S.A.S"/>
    <n v="183.79488000000003"/>
    <n v="405"/>
  </r>
  <r>
    <x v="2"/>
    <s v="GUADALUPE CASTILLO ERNESTO VICENTE"/>
    <n v="1146.2880000000002"/>
    <n v="0"/>
  </r>
  <r>
    <x v="2"/>
    <s v="MASTIAN CHILENO LUIS GEOVANNY"/>
    <n v="572.74800000000016"/>
    <n v="0"/>
  </r>
  <r>
    <x v="2"/>
    <s v="YUCAILLA PADILLA RENE WILFRIDO"/>
    <n v="266.65894800000001"/>
    <n v="360"/>
  </r>
  <r>
    <x v="3"/>
    <m/>
    <n v="2354.1505320000006"/>
    <n v="1485"/>
  </r>
  <r>
    <x v="4"/>
    <s v="BRAVO MORETA DORIS VANESSA (SUPER DESPENSA POLITA)"/>
    <n v="983.31902100000002"/>
    <n v="270"/>
  </r>
  <r>
    <x v="4"/>
    <s v="CAIVEL S.A."/>
    <n v="2900.7594870000003"/>
    <n v="120"/>
  </r>
  <r>
    <x v="4"/>
    <s v="CEDEPLUS S.C.C."/>
    <n v="2301.470832"/>
    <n v="330"/>
  </r>
  <r>
    <x v="4"/>
    <s v="COMERCIAL LA FERIA HLS CIA.LTDA."/>
    <n v="7890.9679290000004"/>
    <n v="120"/>
  </r>
  <r>
    <x v="4"/>
    <s v="DISTRIBUIDORA SUPER TIENDA QUEVEDO LUMACAI SA"/>
    <n v="0"/>
    <n v="120"/>
  </r>
  <r>
    <x v="4"/>
    <s v="GALLARDO BUSTILLOS GENESIS ESTEFANIA"/>
    <n v="0"/>
    <n v="480"/>
  </r>
  <r>
    <x v="4"/>
    <s v="HERRERA CABRERA JENNY JACQUELINE"/>
    <n v="909.30625500000008"/>
    <n v="360"/>
  </r>
  <r>
    <x v="4"/>
    <s v="IMPORTADORA CARANQUI CIA.LTDA."/>
    <n v="0"/>
    <n v="120"/>
  </r>
  <r>
    <x v="4"/>
    <s v="LITARDO MURILLO JANELA ALEXANDRA"/>
    <n v="301.57264200000003"/>
    <n v="0"/>
  </r>
  <r>
    <x v="4"/>
    <s v="LOMBEIDA GONZALEZ JENNY SILVANA"/>
    <n v="0"/>
    <n v="120"/>
  </r>
  <r>
    <x v="4"/>
    <s v="LOMBEIDA GONZALEZ WILSON BAYARDO(COMISARIATO LA GRAN OFERTA)"/>
    <n v="0"/>
    <n v="120"/>
  </r>
  <r>
    <x v="4"/>
    <s v="QUICHIMBO DIAZ CENELIA DEL CISNE"/>
    <n v="0"/>
    <n v="420"/>
  </r>
  <r>
    <x v="4"/>
    <s v="SAMANIEGO TANDAZO BLADIMIR FELIX (SUPER SAV)"/>
    <n v="0"/>
    <n v="240"/>
  </r>
  <r>
    <x v="4"/>
    <s v="SANTANA VERA ALFREDO JOSELITO"/>
    <n v="0"/>
    <n v="0"/>
  </r>
  <r>
    <x v="4"/>
    <s v="SOCIEDAD CIVIL MARCSOL Y CIA"/>
    <n v="1871.7466020000004"/>
    <n v="180"/>
  </r>
  <r>
    <x v="4"/>
    <s v="ROSERO AGUILAR LUIS BAYARDO"/>
    <m/>
    <n v="150"/>
  </r>
  <r>
    <x v="5"/>
    <m/>
    <n v="17159.142767999998"/>
    <n v="3150"/>
  </r>
  <r>
    <x v="6"/>
    <s v="ALMANE CIA. LTDA."/>
    <n v="649.9408380000001"/>
    <n v="480"/>
  </r>
  <r>
    <x v="6"/>
    <s v="ALVARADO ORELLANA YADIRA EVELYN"/>
    <n v="222.75000000000003"/>
    <n v="0"/>
  </r>
  <r>
    <x v="6"/>
    <s v="CARRILLO GALARZA MARCO ANTONIO"/>
    <n v="0"/>
    <n v="0"/>
  </r>
  <r>
    <x v="6"/>
    <s v="CAYA-AUTOSERVICIOS S.A.S"/>
    <n v="778.32029399999999"/>
    <n v="390"/>
  </r>
  <r>
    <x v="6"/>
    <s v="CENTRO DE COMERCIO GUALLI CIA. LTDA."/>
    <n v="0"/>
    <n v="0"/>
  </r>
  <r>
    <x v="6"/>
    <s v="CONSTRUWITHE S.A."/>
    <n v="0"/>
    <n v="0"/>
  </r>
  <r>
    <x v="6"/>
    <s v="DISPROYSER S.A."/>
    <n v="0"/>
    <n v="720"/>
  </r>
  <r>
    <x v="6"/>
    <s v="DISTRIBUIDORA DE PRODUCTOS DE CONSUMO MASIVO CODIPROMASA C.A"/>
    <n v="1247.8927200000001"/>
    <n v="240"/>
  </r>
  <r>
    <x v="6"/>
    <s v="JMORA-WMORAN S.A.S S.A."/>
    <n v="1347.236238"/>
    <n v="450"/>
  </r>
  <r>
    <x v="6"/>
    <s v="JOAMELCORP SA"/>
    <n v="0"/>
    <n v="0"/>
  </r>
  <r>
    <x v="6"/>
    <s v="MOVACAZA S.A.S"/>
    <n v="499.78785000000005"/>
    <n v="270"/>
  </r>
  <r>
    <x v="6"/>
    <s v="MULLO DUCHI ANA LUCIA"/>
    <n v="0"/>
    <n v="0"/>
  </r>
  <r>
    <x v="6"/>
    <s v="ORTEGA GONZALEZ HERMES ADALBER"/>
    <n v="615.67782"/>
    <n v="150"/>
  </r>
  <r>
    <x v="6"/>
    <s v="QUELAL SALDAÑA MANUEL EDUARDO"/>
    <n v="261.57130526399999"/>
    <n v="0"/>
  </r>
  <r>
    <x v="6"/>
    <s v="QUELAL SALDAÑA MERY AZUCENA"/>
    <n v="112.20092100000001"/>
    <n v="120"/>
  </r>
  <r>
    <x v="6"/>
    <s v="ROXANA VILLACIS S.A. ROXVILL"/>
    <n v="0"/>
    <n v="150"/>
  </r>
  <r>
    <x v="6"/>
    <s v="SARANGO PAREDES YERMAN ANIVAL"/>
    <n v="0"/>
    <n v="0"/>
  </r>
  <r>
    <x v="6"/>
    <s v="TOALOMBO LLACA ROSA ISABEL"/>
    <n v="0"/>
    <n v="0"/>
  </r>
  <r>
    <x v="6"/>
    <s v="YAGUACHI QUISHPI MARIA ELVIRA"/>
    <n v="0"/>
    <n v="0"/>
  </r>
  <r>
    <x v="6"/>
    <s v="YANEZ CARDENAS ESTELA ELIZABETH"/>
    <n v="271.90350000000001"/>
    <n v="120"/>
  </r>
  <r>
    <x v="7"/>
    <m/>
    <n v="6007.2814862640007"/>
    <n v="30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3D09C-DBB8-48BF-BBCF-8C173F54D3EA}" name="TablaDinámica2" cacheId="1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" firstHeaderRow="1" firstDataRow="1" firstDataCol="1"/>
  <pivotFields count="5">
    <pivotField axis="axisRow" showAll="0">
      <items count="12">
        <item h="1" x="0"/>
        <item h="1" m="1" x="7"/>
        <item h="1" x="2"/>
        <item m="1" x="6"/>
        <item m="1" x="8"/>
        <item m="1" x="9"/>
        <item m="1" x="10"/>
        <item h="1" x="3"/>
        <item h="1" x="1"/>
        <item h="1" x="4"/>
        <item h="1" x="5"/>
        <item t="default"/>
      </items>
    </pivotField>
    <pivotField showAll="0"/>
    <pivotField dataField="1" numFmtId="165" showAll="0"/>
    <pivotField showAll="0"/>
    <pivotField showAll="0"/>
  </pivotFields>
  <rowFields count="1">
    <field x="0"/>
  </rowFields>
  <rowItems count="1">
    <i t="grand">
      <x/>
    </i>
  </rowItems>
  <colItems count="1">
    <i/>
  </colItems>
  <dataFields count="1">
    <dataField name="Suma de Suma de REBATE REAL VOL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44801-588B-4749-BCEB-DB61DFAE9845}" name="TablaDinámica4" cacheId="1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0" firstDataRow="1" firstDataCol="1"/>
  <pivotFields count="20">
    <pivotField axis="axisRow" showAll="0">
      <items count="6">
        <item x="1"/>
        <item x="2"/>
        <item x="3"/>
        <item h="1"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dataField="1" numFmtId="165" showAll="0"/>
    <pivotField showAll="0"/>
  </pivotFields>
  <rowFields count="1">
    <field x="0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ABECERA5" fld="16" baseField="0" baseItem="0" numFmtId="165"/>
    <dataField name="Suma de ISLA5" fld="17" baseField="0" baseItem="0" numFmtId="165"/>
    <dataField name="Suma de PERCHA5" fld="1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94259-A231-46D9-AA0B-7803571BF68A}" name="TablaDinámica2" cacheId="1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2:C37" firstHeaderRow="0" firstDataRow="1" firstDataCol="1"/>
  <pivotFields count="4">
    <pivotField axis="axisRow" showAll="0">
      <items count="9">
        <item x="0"/>
        <item x="2"/>
        <item x="4"/>
        <item h="1" x="1"/>
        <item h="1" x="3"/>
        <item h="1" x="5"/>
        <item h="1" x="7"/>
        <item x="6"/>
        <item t="default"/>
      </items>
    </pivotField>
    <pivotField showAll="0"/>
    <pivotField dataField="1" showAll="0"/>
    <pivotField dataField="1" numFmtId="165" showAll="0"/>
  </pivotFields>
  <rowFields count="1">
    <field x="0"/>
  </rowFields>
  <rowItems count="5">
    <i>
      <x/>
    </i>
    <i>
      <x v="1"/>
    </i>
    <i>
      <x v="2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OLUMEN" fld="2" baseField="0" baseItem="0"/>
    <dataField name="Suma de VISIBILIDAD" fld="3" baseField="0" baseItem="0" numFmtId="165"/>
  </dataFields>
  <formats count="4">
    <format dxfId="3">
      <pivotArea outline="0" collapsedLevelsAreSubtotals="1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0C63D-E093-419F-AD2A-187A882C50E5}" name="TablaDinámica1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0" firstHeaderRow="0" firstDataRow="1" firstDataCol="2"/>
  <pivotFields count="18">
    <pivotField axis="axisRow" compact="0" outline="0" showAll="0">
      <items count="6">
        <item x="0"/>
        <item x="1"/>
        <item x="3"/>
        <item h="1" x="4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6">
        <item x="36"/>
        <item x="59"/>
        <item x="58"/>
        <item x="56"/>
        <item x="55"/>
        <item x="54"/>
        <item m="1" x="64"/>
        <item x="53"/>
        <item x="51"/>
        <item x="49"/>
        <item x="48"/>
        <item x="47"/>
        <item m="1" x="63"/>
        <item x="45"/>
        <item x="46"/>
        <item x="44"/>
        <item x="42"/>
        <item x="41"/>
        <item x="40"/>
        <item x="39"/>
        <item x="50"/>
        <item x="38"/>
        <item x="35"/>
        <item x="43"/>
        <item x="34"/>
        <item x="33"/>
        <item x="14"/>
        <item x="61"/>
        <item x="60"/>
        <item x="32"/>
        <item x="31"/>
        <item x="30"/>
        <item x="25"/>
        <item x="29"/>
        <item x="28"/>
        <item x="52"/>
        <item x="27"/>
        <item x="57"/>
        <item x="26"/>
        <item x="37"/>
        <item x="24"/>
        <item x="23"/>
        <item x="22"/>
        <item x="21"/>
        <item x="20"/>
        <item x="19"/>
        <item x="18"/>
        <item x="9"/>
        <item x="17"/>
        <item x="16"/>
        <item x="15"/>
        <item x="13"/>
        <item x="12"/>
        <item x="11"/>
        <item x="10"/>
        <item x="8"/>
        <item x="7"/>
        <item x="6"/>
        <item x="5"/>
        <item x="4"/>
        <item x="3"/>
        <item x="2"/>
        <item x="1"/>
        <item x="0"/>
        <item x="6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67">
    <i>
      <x/>
      <x v="2"/>
    </i>
    <i r="1">
      <x v="3"/>
    </i>
    <i r="1">
      <x v="4"/>
    </i>
    <i r="1">
      <x v="5"/>
    </i>
    <i r="1">
      <x v="13"/>
    </i>
    <i r="1">
      <x v="16"/>
    </i>
    <i r="1">
      <x v="18"/>
    </i>
    <i r="1">
      <x v="19"/>
    </i>
    <i r="1">
      <x v="27"/>
    </i>
    <i r="1">
      <x v="28"/>
    </i>
    <i r="1">
      <x v="37"/>
    </i>
    <i r="1">
      <x v="42"/>
    </i>
    <i r="1">
      <x v="43"/>
    </i>
    <i r="1">
      <x v="47"/>
    </i>
    <i r="1">
      <x v="54"/>
    </i>
    <i r="1">
      <x v="55"/>
    </i>
    <i r="1">
      <x v="56"/>
    </i>
    <i r="1">
      <x v="60"/>
    </i>
    <i r="1">
      <x v="61"/>
    </i>
    <i r="1">
      <x v="62"/>
    </i>
    <i r="1">
      <x v="63"/>
    </i>
    <i t="default">
      <x/>
    </i>
    <i>
      <x v="1"/>
      <x v="8"/>
    </i>
    <i r="1">
      <x v="20"/>
    </i>
    <i r="1">
      <x v="25"/>
    </i>
    <i r="1">
      <x v="29"/>
    </i>
    <i r="1">
      <x v="38"/>
    </i>
    <i r="1">
      <x v="59"/>
    </i>
    <i t="default">
      <x v="1"/>
    </i>
    <i>
      <x v="2"/>
      <x v="7"/>
    </i>
    <i r="1">
      <x v="9"/>
    </i>
    <i r="1">
      <x v="14"/>
    </i>
    <i r="1">
      <x v="17"/>
    </i>
    <i r="1">
      <x v="24"/>
    </i>
    <i r="1">
      <x v="26"/>
    </i>
    <i r="1">
      <x v="30"/>
    </i>
    <i r="1">
      <x v="31"/>
    </i>
    <i r="1">
      <x v="34"/>
    </i>
    <i r="1">
      <x v="35"/>
    </i>
    <i r="1">
      <x v="36"/>
    </i>
    <i r="1">
      <x v="46"/>
    </i>
    <i r="1">
      <x v="49"/>
    </i>
    <i r="1">
      <x v="50"/>
    </i>
    <i r="1">
      <x v="52"/>
    </i>
    <i t="default">
      <x v="2"/>
    </i>
    <i>
      <x v="4"/>
      <x/>
    </i>
    <i r="1">
      <x v="1"/>
    </i>
    <i r="1">
      <x v="10"/>
    </i>
    <i r="1">
      <x v="11"/>
    </i>
    <i r="1">
      <x v="15"/>
    </i>
    <i r="1">
      <x v="21"/>
    </i>
    <i r="1">
      <x v="22"/>
    </i>
    <i r="1">
      <x v="23"/>
    </i>
    <i r="1">
      <x v="32"/>
    </i>
    <i r="1">
      <x v="33"/>
    </i>
    <i r="1">
      <x v="39"/>
    </i>
    <i r="1">
      <x v="40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7"/>
    </i>
    <i r="1">
      <x v="58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 Q2" fld="8" baseField="0" baseItem="0"/>
    <dataField name="Suma de VENTA Q4" fld="16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ADFC-A7D4-4EBA-91C5-9D8C6E072986}">
  <dimension ref="A1:E63"/>
  <sheetViews>
    <sheetView workbookViewId="0">
      <selection sqref="A1:E63"/>
    </sheetView>
  </sheetViews>
  <sheetFormatPr defaultColWidth="11.42578125" defaultRowHeight="14.45"/>
  <cols>
    <col min="1" max="1" width="22" bestFit="1" customWidth="1"/>
    <col min="2" max="2" width="41.140625" customWidth="1"/>
    <col min="3" max="3" width="28.140625" customWidth="1"/>
    <col min="4" max="4" width="17.570312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</v>
      </c>
      <c r="D2">
        <v>0</v>
      </c>
      <c r="E2">
        <v>0</v>
      </c>
    </row>
    <row r="3" spans="1:5">
      <c r="A3" t="s">
        <v>5</v>
      </c>
      <c r="B3" t="s">
        <v>7</v>
      </c>
      <c r="C3">
        <v>2770.1334079999997</v>
      </c>
      <c r="D3">
        <v>750</v>
      </c>
      <c r="E3">
        <v>3520.1334079999997</v>
      </c>
    </row>
    <row r="4" spans="1:5">
      <c r="A4" t="s">
        <v>5</v>
      </c>
      <c r="B4" t="s">
        <v>8</v>
      </c>
      <c r="C4">
        <v>721.3523123386251</v>
      </c>
      <c r="D4">
        <v>510</v>
      </c>
      <c r="E4">
        <v>1231.3523123386251</v>
      </c>
    </row>
    <row r="5" spans="1:5">
      <c r="A5" t="s">
        <v>5</v>
      </c>
      <c r="B5" t="s">
        <v>9</v>
      </c>
      <c r="C5">
        <v>518.96953548825013</v>
      </c>
      <c r="D5">
        <v>0</v>
      </c>
      <c r="E5">
        <v>518.96953548825013</v>
      </c>
    </row>
    <row r="6" spans="1:5">
      <c r="A6" t="s">
        <v>5</v>
      </c>
      <c r="B6" t="s">
        <v>10</v>
      </c>
      <c r="C6">
        <v>223.79757599999999</v>
      </c>
      <c r="D6">
        <v>180</v>
      </c>
      <c r="E6">
        <v>403.79757599999999</v>
      </c>
    </row>
    <row r="7" spans="1:5">
      <c r="A7" t="s">
        <v>5</v>
      </c>
      <c r="B7" t="s">
        <v>11</v>
      </c>
      <c r="C7">
        <v>2019.5664920000002</v>
      </c>
      <c r="D7">
        <v>510</v>
      </c>
      <c r="E7">
        <v>2529.5664919999999</v>
      </c>
    </row>
    <row r="8" spans="1:5">
      <c r="A8" t="s">
        <v>5</v>
      </c>
      <c r="B8" t="s">
        <v>12</v>
      </c>
      <c r="C8">
        <v>480.51275810587504</v>
      </c>
      <c r="D8">
        <v>150</v>
      </c>
      <c r="E8">
        <v>630.51275810587504</v>
      </c>
    </row>
    <row r="9" spans="1:5">
      <c r="A9" t="s">
        <v>5</v>
      </c>
      <c r="B9" t="s">
        <v>13</v>
      </c>
      <c r="C9">
        <v>1185.8745989718752</v>
      </c>
      <c r="D9">
        <v>150</v>
      </c>
      <c r="E9">
        <v>1335.8745989718752</v>
      </c>
    </row>
    <row r="10" spans="1:5">
      <c r="A10" t="s">
        <v>5</v>
      </c>
      <c r="B10" t="s">
        <v>14</v>
      </c>
      <c r="C10">
        <v>425.66414000000003</v>
      </c>
      <c r="D10">
        <v>0</v>
      </c>
      <c r="E10">
        <v>425.66414000000003</v>
      </c>
    </row>
    <row r="11" spans="1:5">
      <c r="A11" t="s">
        <v>5</v>
      </c>
      <c r="B11" t="s">
        <v>15</v>
      </c>
      <c r="C11">
        <v>1633.38392</v>
      </c>
      <c r="D11">
        <v>150</v>
      </c>
      <c r="E11">
        <v>1783.38392</v>
      </c>
    </row>
    <row r="12" spans="1:5">
      <c r="A12" t="s">
        <v>5</v>
      </c>
      <c r="B12" t="s">
        <v>16</v>
      </c>
      <c r="C12">
        <v>1347.5440488328127</v>
      </c>
      <c r="D12">
        <v>150</v>
      </c>
      <c r="E12">
        <v>1497.5440488328127</v>
      </c>
    </row>
    <row r="13" spans="1:5">
      <c r="A13" t="s">
        <v>5</v>
      </c>
      <c r="B13" t="s">
        <v>17</v>
      </c>
      <c r="C13">
        <v>0</v>
      </c>
      <c r="D13">
        <v>120</v>
      </c>
      <c r="E13">
        <v>120</v>
      </c>
    </row>
    <row r="14" spans="1:5">
      <c r="A14" t="s">
        <v>5</v>
      </c>
      <c r="B14" t="s">
        <v>18</v>
      </c>
      <c r="C14">
        <v>0</v>
      </c>
      <c r="D14">
        <v>150</v>
      </c>
      <c r="E14">
        <v>150</v>
      </c>
    </row>
    <row r="15" spans="1:5">
      <c r="A15" t="s">
        <v>5</v>
      </c>
      <c r="B15" t="s">
        <v>19</v>
      </c>
      <c r="C15">
        <v>0</v>
      </c>
      <c r="D15">
        <v>0</v>
      </c>
      <c r="E15">
        <v>0</v>
      </c>
    </row>
    <row r="16" spans="1:5">
      <c r="A16" t="s">
        <v>5</v>
      </c>
      <c r="B16" t="s">
        <v>20</v>
      </c>
      <c r="C16">
        <v>0</v>
      </c>
      <c r="D16">
        <v>360</v>
      </c>
      <c r="E16">
        <v>360</v>
      </c>
    </row>
    <row r="17" spans="1:5">
      <c r="A17" t="s">
        <v>5</v>
      </c>
      <c r="B17" t="s">
        <v>21</v>
      </c>
      <c r="C17">
        <v>0</v>
      </c>
      <c r="D17">
        <v>780</v>
      </c>
      <c r="E17">
        <v>780</v>
      </c>
    </row>
    <row r="18" spans="1:5">
      <c r="A18" t="s">
        <v>5</v>
      </c>
      <c r="B18" t="s">
        <v>22</v>
      </c>
      <c r="C18">
        <v>753.17051471418745</v>
      </c>
      <c r="D18">
        <v>150</v>
      </c>
      <c r="E18">
        <v>903.17051471418745</v>
      </c>
    </row>
    <row r="19" spans="1:5">
      <c r="A19" t="s">
        <v>5</v>
      </c>
      <c r="B19" t="s">
        <v>23</v>
      </c>
      <c r="C19">
        <v>268.14081000000004</v>
      </c>
      <c r="D19">
        <v>180</v>
      </c>
      <c r="E19">
        <v>448.14081000000004</v>
      </c>
    </row>
    <row r="20" spans="1:5">
      <c r="A20" t="s">
        <v>5</v>
      </c>
      <c r="B20" t="s">
        <v>24</v>
      </c>
      <c r="C20">
        <v>0</v>
      </c>
      <c r="D20">
        <v>150</v>
      </c>
      <c r="E20">
        <v>150</v>
      </c>
    </row>
    <row r="21" spans="1:5">
      <c r="A21" t="s">
        <v>5</v>
      </c>
      <c r="B21" t="s">
        <v>25</v>
      </c>
      <c r="C21">
        <v>0</v>
      </c>
      <c r="D21">
        <v>0</v>
      </c>
      <c r="E21">
        <v>0</v>
      </c>
    </row>
    <row r="22" spans="1:5">
      <c r="A22" t="s">
        <v>26</v>
      </c>
      <c r="B22" t="s">
        <v>27</v>
      </c>
      <c r="C22">
        <v>0</v>
      </c>
      <c r="D22">
        <v>240</v>
      </c>
      <c r="E22">
        <v>240</v>
      </c>
    </row>
    <row r="23" spans="1:5">
      <c r="A23" t="s">
        <v>26</v>
      </c>
      <c r="B23" t="s">
        <v>28</v>
      </c>
      <c r="C23">
        <v>0</v>
      </c>
      <c r="D23">
        <v>580</v>
      </c>
      <c r="E23">
        <v>580</v>
      </c>
    </row>
    <row r="24" spans="1:5">
      <c r="A24" t="s">
        <v>26</v>
      </c>
      <c r="B24" t="s">
        <v>29</v>
      </c>
      <c r="C24">
        <v>646.22249999999997</v>
      </c>
      <c r="D24">
        <v>0</v>
      </c>
      <c r="E24">
        <v>646.22249999999997</v>
      </c>
    </row>
    <row r="25" spans="1:5">
      <c r="A25" t="s">
        <v>26</v>
      </c>
      <c r="B25" t="s">
        <v>30</v>
      </c>
      <c r="C25">
        <v>273.68367999999998</v>
      </c>
      <c r="D25">
        <v>0</v>
      </c>
      <c r="E25">
        <v>273.68367999999998</v>
      </c>
    </row>
    <row r="26" spans="1:5">
      <c r="A26" t="s">
        <v>26</v>
      </c>
      <c r="B26" t="s">
        <v>31</v>
      </c>
      <c r="C26">
        <v>151.40400000000002</v>
      </c>
      <c r="D26">
        <v>295</v>
      </c>
      <c r="E26">
        <v>446.404</v>
      </c>
    </row>
    <row r="27" spans="1:5">
      <c r="A27" t="s">
        <v>26</v>
      </c>
      <c r="B27" t="s">
        <v>32</v>
      </c>
      <c r="C27">
        <v>136.4</v>
      </c>
      <c r="D27">
        <v>240</v>
      </c>
      <c r="E27">
        <v>376.4</v>
      </c>
    </row>
    <row r="28" spans="1:5">
      <c r="A28" t="s">
        <v>33</v>
      </c>
      <c r="B28" t="s">
        <v>34</v>
      </c>
      <c r="C28">
        <v>725.49882096524993</v>
      </c>
      <c r="D28">
        <v>420</v>
      </c>
      <c r="E28">
        <v>1145.4988209652499</v>
      </c>
    </row>
    <row r="29" spans="1:5">
      <c r="A29" t="s">
        <v>33</v>
      </c>
      <c r="B29" t="s">
        <v>35</v>
      </c>
      <c r="C29">
        <v>1799.0602422750001</v>
      </c>
      <c r="D29">
        <v>300</v>
      </c>
      <c r="E29">
        <v>2099.0602422749998</v>
      </c>
    </row>
    <row r="30" spans="1:5">
      <c r="A30" t="s">
        <v>33</v>
      </c>
      <c r="B30" t="s">
        <v>36</v>
      </c>
      <c r="C30">
        <v>2098.8806520422004</v>
      </c>
      <c r="D30">
        <v>300</v>
      </c>
      <c r="E30">
        <v>2398.8806520422004</v>
      </c>
    </row>
    <row r="31" spans="1:5">
      <c r="A31" t="s">
        <v>33</v>
      </c>
      <c r="B31" t="s">
        <v>37</v>
      </c>
      <c r="C31">
        <v>5653.1759961319876</v>
      </c>
      <c r="D31">
        <v>300</v>
      </c>
      <c r="E31">
        <v>5953.1759961319876</v>
      </c>
    </row>
    <row r="32" spans="1:5">
      <c r="A32" t="s">
        <v>33</v>
      </c>
      <c r="B32" t="s">
        <v>38</v>
      </c>
      <c r="C32">
        <v>0</v>
      </c>
      <c r="D32">
        <v>180</v>
      </c>
      <c r="E32">
        <v>180</v>
      </c>
    </row>
    <row r="33" spans="1:5">
      <c r="A33" t="s">
        <v>33</v>
      </c>
      <c r="B33" t="s">
        <v>39</v>
      </c>
      <c r="C33">
        <v>1795.4110140000003</v>
      </c>
      <c r="D33">
        <v>300</v>
      </c>
      <c r="E33">
        <v>2095.4110140000003</v>
      </c>
    </row>
    <row r="34" spans="1:5">
      <c r="A34" t="s">
        <v>33</v>
      </c>
      <c r="B34" t="s">
        <v>40</v>
      </c>
      <c r="C34">
        <v>698.50081512345014</v>
      </c>
      <c r="D34">
        <v>120</v>
      </c>
      <c r="E34">
        <v>818.50081512345014</v>
      </c>
    </row>
    <row r="35" spans="1:5">
      <c r="A35" t="s">
        <v>33</v>
      </c>
      <c r="B35" t="s">
        <v>41</v>
      </c>
      <c r="C35">
        <v>371.84944467825005</v>
      </c>
      <c r="D35">
        <v>180</v>
      </c>
      <c r="E35">
        <v>551.84944467825005</v>
      </c>
    </row>
    <row r="36" spans="1:5">
      <c r="A36" t="s">
        <v>33</v>
      </c>
      <c r="B36" t="s">
        <v>42</v>
      </c>
      <c r="C36">
        <v>0</v>
      </c>
      <c r="D36">
        <v>180</v>
      </c>
      <c r="E36">
        <v>180</v>
      </c>
    </row>
    <row r="37" spans="1:5">
      <c r="A37" t="s">
        <v>33</v>
      </c>
      <c r="B37" t="s">
        <v>43</v>
      </c>
      <c r="C37">
        <v>222.22521</v>
      </c>
      <c r="D37">
        <v>300</v>
      </c>
      <c r="E37">
        <v>522.22521000000006</v>
      </c>
    </row>
    <row r="38" spans="1:5">
      <c r="A38" t="s">
        <v>33</v>
      </c>
      <c r="B38" t="s">
        <v>44</v>
      </c>
      <c r="C38">
        <v>815.36333896704991</v>
      </c>
      <c r="D38">
        <v>180</v>
      </c>
      <c r="E38">
        <v>995.36333896704991</v>
      </c>
    </row>
    <row r="39" spans="1:5">
      <c r="A39" t="s">
        <v>33</v>
      </c>
      <c r="B39" t="s">
        <v>45</v>
      </c>
      <c r="C39">
        <v>3188.5749510000005</v>
      </c>
      <c r="D39">
        <v>360</v>
      </c>
      <c r="E39">
        <v>3548.5749510000005</v>
      </c>
    </row>
    <row r="40" spans="1:5">
      <c r="A40" t="s">
        <v>33</v>
      </c>
      <c r="B40" t="s">
        <v>46</v>
      </c>
      <c r="C40">
        <v>1159.0522020663252</v>
      </c>
      <c r="D40">
        <v>300</v>
      </c>
      <c r="E40">
        <v>1459.0522020663252</v>
      </c>
    </row>
    <row r="41" spans="1:5">
      <c r="A41" t="s">
        <v>33</v>
      </c>
      <c r="B41" t="s">
        <v>47</v>
      </c>
      <c r="C41">
        <v>117.18297000000001</v>
      </c>
      <c r="D41">
        <v>0</v>
      </c>
      <c r="E41">
        <v>117.18297000000001</v>
      </c>
    </row>
    <row r="42" spans="1:5">
      <c r="A42" t="s">
        <v>33</v>
      </c>
      <c r="B42" t="s">
        <v>48</v>
      </c>
      <c r="C42">
        <v>1657.8825456334002</v>
      </c>
      <c r="D42">
        <v>300</v>
      </c>
      <c r="E42">
        <v>1957.8825456334002</v>
      </c>
    </row>
    <row r="43" spans="1:5">
      <c r="A43" t="s">
        <v>49</v>
      </c>
      <c r="B43" t="s">
        <v>50</v>
      </c>
      <c r="C43">
        <v>839.85</v>
      </c>
      <c r="D43">
        <v>495</v>
      </c>
      <c r="E43">
        <v>1334.85</v>
      </c>
    </row>
    <row r="44" spans="1:5">
      <c r="A44" t="s">
        <v>49</v>
      </c>
      <c r="B44" t="s">
        <v>51</v>
      </c>
      <c r="C44">
        <v>301.94421899999998</v>
      </c>
      <c r="D44">
        <v>120</v>
      </c>
      <c r="E44">
        <v>421.94421899999998</v>
      </c>
    </row>
    <row r="45" spans="1:5">
      <c r="A45" t="s">
        <v>49</v>
      </c>
      <c r="B45" t="s">
        <v>52</v>
      </c>
      <c r="C45">
        <v>424.72386</v>
      </c>
      <c r="D45">
        <v>120</v>
      </c>
      <c r="E45">
        <v>544.72386000000006</v>
      </c>
    </row>
    <row r="46" spans="1:5">
      <c r="A46" t="s">
        <v>49</v>
      </c>
      <c r="B46" t="s">
        <v>53</v>
      </c>
      <c r="C46">
        <v>575.18094599999995</v>
      </c>
      <c r="D46">
        <v>390</v>
      </c>
      <c r="E46">
        <v>965.18094599999995</v>
      </c>
    </row>
    <row r="47" spans="1:5">
      <c r="A47" t="s">
        <v>49</v>
      </c>
      <c r="B47" t="s">
        <v>54</v>
      </c>
      <c r="C47">
        <v>89.304187499999998</v>
      </c>
      <c r="D47">
        <v>0</v>
      </c>
      <c r="E47">
        <v>89.304187499999998</v>
      </c>
    </row>
    <row r="48" spans="1:5">
      <c r="A48" t="s">
        <v>49</v>
      </c>
      <c r="B48" t="s">
        <v>55</v>
      </c>
      <c r="C48">
        <v>0</v>
      </c>
      <c r="D48">
        <v>120</v>
      </c>
      <c r="E48">
        <v>120</v>
      </c>
    </row>
    <row r="49" spans="1:5">
      <c r="A49" t="s">
        <v>49</v>
      </c>
      <c r="B49" t="s">
        <v>56</v>
      </c>
      <c r="C49">
        <v>0</v>
      </c>
      <c r="D49">
        <v>750</v>
      </c>
      <c r="E49">
        <v>750</v>
      </c>
    </row>
    <row r="50" spans="1:5">
      <c r="A50" t="s">
        <v>49</v>
      </c>
      <c r="B50" t="s">
        <v>57</v>
      </c>
      <c r="C50">
        <v>713.34412800000007</v>
      </c>
      <c r="D50">
        <v>240</v>
      </c>
      <c r="E50">
        <v>953.34412800000007</v>
      </c>
    </row>
    <row r="51" spans="1:5">
      <c r="A51" t="s">
        <v>49</v>
      </c>
      <c r="B51" t="s">
        <v>58</v>
      </c>
      <c r="C51">
        <v>599.94000000000005</v>
      </c>
      <c r="D51">
        <v>360</v>
      </c>
      <c r="E51">
        <v>959.94</v>
      </c>
    </row>
    <row r="52" spans="1:5">
      <c r="A52" t="s">
        <v>49</v>
      </c>
      <c r="B52" t="s">
        <v>59</v>
      </c>
      <c r="C52">
        <v>0</v>
      </c>
      <c r="D52">
        <v>0</v>
      </c>
      <c r="E52">
        <v>0</v>
      </c>
    </row>
    <row r="53" spans="1:5">
      <c r="A53" t="s">
        <v>49</v>
      </c>
      <c r="B53" t="s">
        <v>60</v>
      </c>
      <c r="C53">
        <v>0</v>
      </c>
      <c r="D53">
        <v>420</v>
      </c>
      <c r="E53">
        <v>420</v>
      </c>
    </row>
    <row r="54" spans="1:5">
      <c r="A54" t="s">
        <v>49</v>
      </c>
      <c r="B54" t="s">
        <v>61</v>
      </c>
      <c r="C54">
        <v>307.13385600000004</v>
      </c>
      <c r="D54">
        <v>0</v>
      </c>
      <c r="E54">
        <v>307.13385600000004</v>
      </c>
    </row>
    <row r="55" spans="1:5">
      <c r="A55" t="s">
        <v>49</v>
      </c>
      <c r="B55" t="s">
        <v>62</v>
      </c>
      <c r="C55">
        <v>0</v>
      </c>
      <c r="D55">
        <v>120</v>
      </c>
      <c r="E55">
        <v>120</v>
      </c>
    </row>
    <row r="56" spans="1:5">
      <c r="A56" t="s">
        <v>49</v>
      </c>
      <c r="B56" t="s">
        <v>63</v>
      </c>
      <c r="C56">
        <v>234.71067600000001</v>
      </c>
      <c r="D56">
        <v>0</v>
      </c>
      <c r="E56">
        <v>234.71067600000001</v>
      </c>
    </row>
    <row r="57" spans="1:5">
      <c r="A57" t="s">
        <v>49</v>
      </c>
      <c r="B57" t="s">
        <v>64</v>
      </c>
      <c r="C57">
        <v>0</v>
      </c>
      <c r="D57">
        <v>120</v>
      </c>
      <c r="E57">
        <v>120</v>
      </c>
    </row>
    <row r="58" spans="1:5">
      <c r="A58" t="s">
        <v>49</v>
      </c>
      <c r="B58" t="s">
        <v>65</v>
      </c>
      <c r="C58">
        <v>1225.6695</v>
      </c>
      <c r="D58">
        <v>225</v>
      </c>
      <c r="E58">
        <v>1450.6695</v>
      </c>
    </row>
    <row r="59" spans="1:5">
      <c r="A59" t="s">
        <v>49</v>
      </c>
      <c r="B59" t="s">
        <v>66</v>
      </c>
      <c r="C59">
        <v>264.24509399999999</v>
      </c>
      <c r="D59">
        <v>0</v>
      </c>
      <c r="E59">
        <v>264.24509399999999</v>
      </c>
    </row>
    <row r="60" spans="1:5">
      <c r="A60" t="s">
        <v>49</v>
      </c>
      <c r="B60" t="s">
        <v>67</v>
      </c>
      <c r="C60">
        <v>165.82500000000002</v>
      </c>
      <c r="D60">
        <v>0</v>
      </c>
      <c r="E60">
        <v>165.82500000000002</v>
      </c>
    </row>
    <row r="61" spans="1:5">
      <c r="A61" t="s">
        <v>49</v>
      </c>
      <c r="B61" t="s">
        <v>68</v>
      </c>
      <c r="C61">
        <v>324.6810806824754</v>
      </c>
      <c r="D61">
        <v>120</v>
      </c>
      <c r="E61">
        <v>444.6810806824754</v>
      </c>
    </row>
    <row r="62" spans="1:5">
      <c r="A62" t="s">
        <v>49</v>
      </c>
      <c r="B62" t="s">
        <v>69</v>
      </c>
      <c r="C62">
        <v>373.32900000000001</v>
      </c>
      <c r="D62">
        <v>120</v>
      </c>
      <c r="E62">
        <v>493.32900000000001</v>
      </c>
    </row>
    <row r="63" spans="1:5">
      <c r="A63" t="s">
        <v>49</v>
      </c>
      <c r="B63" t="s">
        <v>70</v>
      </c>
      <c r="C63">
        <v>345.19110904885991</v>
      </c>
      <c r="D63">
        <v>120</v>
      </c>
      <c r="E63">
        <v>465.19110904885991</v>
      </c>
    </row>
  </sheetData>
  <autoFilter ref="A1:E64" xr:uid="{EDA8ADFC-A7D4-4EBA-91C5-9D8C6E0729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AEF3-A82E-4952-9C32-0A22F0C1ABB8}">
  <dimension ref="A3:B4"/>
  <sheetViews>
    <sheetView workbookViewId="0">
      <selection activeCell="A3" sqref="A3:C8"/>
    </sheetView>
  </sheetViews>
  <sheetFormatPr defaultColWidth="11.42578125" defaultRowHeight="14.45"/>
  <cols>
    <col min="1" max="1" width="16.5703125" bestFit="1" customWidth="1"/>
    <col min="2" max="2" width="30.85546875" bestFit="1" customWidth="1"/>
    <col min="3" max="3" width="18.5703125" bestFit="1" customWidth="1"/>
  </cols>
  <sheetData>
    <row r="3" spans="1:2">
      <c r="A3" s="54" t="s">
        <v>71</v>
      </c>
      <c r="B3" t="s">
        <v>72</v>
      </c>
    </row>
    <row r="4" spans="1:2">
      <c r="A4" s="20" t="s">
        <v>73</v>
      </c>
      <c r="B4" s="4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8149-7B98-4537-BDBF-88E11FD04A34}">
  <dimension ref="A3:I54"/>
  <sheetViews>
    <sheetView tabSelected="1" topLeftCell="A36" workbookViewId="0">
      <selection activeCell="C52" sqref="C52"/>
    </sheetView>
  </sheetViews>
  <sheetFormatPr defaultColWidth="11.42578125" defaultRowHeight="14.45"/>
  <cols>
    <col min="1" max="1" width="24.28515625" customWidth="1"/>
    <col min="2" max="2" width="17.5703125" customWidth="1"/>
    <col min="3" max="3" width="19.28515625" bestFit="1" customWidth="1"/>
    <col min="4" max="4" width="16.42578125" bestFit="1" customWidth="1"/>
    <col min="5" max="5" width="24.85546875" customWidth="1"/>
    <col min="6" max="7" width="13.42578125" bestFit="1" customWidth="1"/>
  </cols>
  <sheetData>
    <row r="3" spans="1:7">
      <c r="A3" s="54" t="s">
        <v>71</v>
      </c>
      <c r="B3" t="s">
        <v>74</v>
      </c>
      <c r="C3" t="s">
        <v>75</v>
      </c>
      <c r="D3" t="s">
        <v>76</v>
      </c>
      <c r="E3" s="64" t="s">
        <v>4</v>
      </c>
      <c r="G3">
        <f>56000/4</f>
        <v>14000</v>
      </c>
    </row>
    <row r="4" spans="1:7">
      <c r="A4" s="20" t="s">
        <v>5</v>
      </c>
      <c r="B4" s="49">
        <v>1890</v>
      </c>
      <c r="C4" s="49">
        <v>960</v>
      </c>
      <c r="D4" s="49">
        <v>1660</v>
      </c>
      <c r="E4" s="11">
        <f>SUM(B4:D4)</f>
        <v>4510</v>
      </c>
    </row>
    <row r="5" spans="1:7">
      <c r="A5" s="20" t="s">
        <v>26</v>
      </c>
      <c r="B5" s="49">
        <v>140</v>
      </c>
      <c r="C5" s="49">
        <v>885</v>
      </c>
      <c r="D5" s="49">
        <v>600</v>
      </c>
      <c r="E5" s="11">
        <f t="shared" ref="E5:E8" si="0">SUM(B5:D5)</f>
        <v>1625</v>
      </c>
    </row>
    <row r="6" spans="1:7">
      <c r="A6" s="20" t="s">
        <v>33</v>
      </c>
      <c r="B6" s="49">
        <v>720</v>
      </c>
      <c r="C6" s="49">
        <v>1800</v>
      </c>
      <c r="D6" s="49">
        <v>360</v>
      </c>
      <c r="E6" s="11">
        <f t="shared" si="0"/>
        <v>2880</v>
      </c>
    </row>
    <row r="7" spans="1:7">
      <c r="A7" s="20" t="s">
        <v>49</v>
      </c>
      <c r="B7" s="49">
        <v>1680</v>
      </c>
      <c r="C7" s="49">
        <v>930</v>
      </c>
      <c r="D7" s="49">
        <v>660</v>
      </c>
      <c r="E7" s="11">
        <f t="shared" si="0"/>
        <v>3270</v>
      </c>
    </row>
    <row r="8" spans="1:7">
      <c r="A8" s="20" t="s">
        <v>73</v>
      </c>
      <c r="B8" s="49">
        <v>4430</v>
      </c>
      <c r="C8" s="49">
        <v>4575</v>
      </c>
      <c r="D8" s="49">
        <v>3280</v>
      </c>
      <c r="E8" s="63">
        <f t="shared" si="0"/>
        <v>12285</v>
      </c>
    </row>
    <row r="9" spans="1:7">
      <c r="A9" s="20"/>
      <c r="B9" s="49"/>
      <c r="C9" s="49"/>
      <c r="D9" s="49"/>
      <c r="E9" s="65"/>
    </row>
    <row r="11" spans="1:7">
      <c r="A11" s="78" t="s">
        <v>77</v>
      </c>
    </row>
    <row r="12" spans="1:7">
      <c r="A12" s="62" t="s">
        <v>0</v>
      </c>
      <c r="B12" s="62" t="s">
        <v>2</v>
      </c>
      <c r="C12" s="62" t="s">
        <v>3</v>
      </c>
      <c r="D12" s="62" t="s">
        <v>4</v>
      </c>
      <c r="E12" s="66" t="s">
        <v>78</v>
      </c>
    </row>
    <row r="13" spans="1:7">
      <c r="A13" s="6" t="s">
        <v>79</v>
      </c>
      <c r="B13" s="10">
        <v>12006.546379999998</v>
      </c>
      <c r="C13" s="10">
        <v>4510</v>
      </c>
      <c r="D13" s="11">
        <f>+B13+C13</f>
        <v>16516.54638</v>
      </c>
      <c r="E13" s="6"/>
    </row>
    <row r="14" spans="1:7">
      <c r="A14" s="6" t="s">
        <v>80</v>
      </c>
      <c r="B14" s="10">
        <v>1383.07566</v>
      </c>
      <c r="C14" s="10">
        <v>1625</v>
      </c>
      <c r="D14" s="11">
        <f t="shared" ref="D14:D17" si="1">+B14+C14</f>
        <v>3008.07566</v>
      </c>
      <c r="E14" s="6"/>
    </row>
    <row r="15" spans="1:7">
      <c r="A15" s="6" t="s">
        <v>81</v>
      </c>
      <c r="B15" s="10">
        <v>19823.705996567762</v>
      </c>
      <c r="C15" s="10">
        <v>2880</v>
      </c>
      <c r="D15" s="11">
        <f t="shared" si="1"/>
        <v>22703.705996567762</v>
      </c>
      <c r="E15" s="6"/>
    </row>
    <row r="16" spans="1:7">
      <c r="A16" s="6" t="s">
        <v>82</v>
      </c>
      <c r="B16" s="10">
        <v>6367.5256510400004</v>
      </c>
      <c r="C16" s="10">
        <v>3270</v>
      </c>
      <c r="D16" s="11">
        <f t="shared" si="1"/>
        <v>9637.5256510399995</v>
      </c>
      <c r="E16" s="6"/>
    </row>
    <row r="17" spans="1:6">
      <c r="A17" s="42" t="s">
        <v>73</v>
      </c>
      <c r="B17" s="19">
        <v>39580.853687607763</v>
      </c>
      <c r="C17" s="19">
        <v>12285</v>
      </c>
      <c r="D17" s="63">
        <f t="shared" si="1"/>
        <v>51865.853687607763</v>
      </c>
      <c r="E17" s="19">
        <v>13250</v>
      </c>
      <c r="F17" s="67">
        <f>+C17/E17</f>
        <v>0.92716981132075471</v>
      </c>
    </row>
    <row r="20" spans="1:6">
      <c r="A20" s="6" t="s">
        <v>83</v>
      </c>
      <c r="B20" s="10">
        <v>49443</v>
      </c>
    </row>
    <row r="21" spans="1:6" ht="15" thickBot="1"/>
    <row r="22" spans="1:6" ht="16.5" thickBot="1">
      <c r="A22" s="73" t="s">
        <v>0</v>
      </c>
      <c r="B22" s="74">
        <v>2026</v>
      </c>
      <c r="C22" s="74" t="s">
        <v>77</v>
      </c>
      <c r="D22" s="74" t="s">
        <v>84</v>
      </c>
      <c r="E22" s="74" t="s">
        <v>85</v>
      </c>
      <c r="F22" s="74" t="s">
        <v>86</v>
      </c>
    </row>
    <row r="23" spans="1:6" ht="16.5" thickBot="1">
      <c r="A23" s="75" t="s">
        <v>87</v>
      </c>
      <c r="B23" s="76" t="s">
        <v>88</v>
      </c>
      <c r="C23" s="76" t="s">
        <v>89</v>
      </c>
      <c r="D23" s="76" t="s">
        <v>90</v>
      </c>
      <c r="E23" s="76" t="s">
        <v>90</v>
      </c>
      <c r="F23" s="76" t="s">
        <v>90</v>
      </c>
    </row>
    <row r="24" spans="1:6" ht="16.5" thickBot="1">
      <c r="A24" s="75" t="s">
        <v>91</v>
      </c>
      <c r="B24" s="76" t="s">
        <v>92</v>
      </c>
      <c r="C24" s="76" t="s">
        <v>93</v>
      </c>
      <c r="D24" s="76" t="s">
        <v>94</v>
      </c>
      <c r="E24" s="76" t="s">
        <v>94</v>
      </c>
      <c r="F24" s="76" t="s">
        <v>94</v>
      </c>
    </row>
    <row r="25" spans="1:6" ht="16.5" thickBot="1">
      <c r="A25" s="75" t="s">
        <v>95</v>
      </c>
      <c r="B25" s="76" t="s">
        <v>96</v>
      </c>
      <c r="C25" s="76" t="s">
        <v>97</v>
      </c>
      <c r="D25" s="76" t="s">
        <v>98</v>
      </c>
      <c r="E25" s="76" t="s">
        <v>98</v>
      </c>
      <c r="F25" s="76" t="s">
        <v>98</v>
      </c>
    </row>
    <row r="26" spans="1:6" ht="16.5" thickBot="1">
      <c r="A26" s="75" t="s">
        <v>99</v>
      </c>
      <c r="B26" s="76" t="s">
        <v>100</v>
      </c>
      <c r="C26" s="76" t="s">
        <v>101</v>
      </c>
      <c r="D26" s="76" t="s">
        <v>102</v>
      </c>
      <c r="E26" s="76" t="s">
        <v>102</v>
      </c>
      <c r="F26" s="76" t="s">
        <v>102</v>
      </c>
    </row>
    <row r="27" spans="1:6" ht="16.5" thickBot="1">
      <c r="A27" s="75" t="s">
        <v>73</v>
      </c>
      <c r="B27" s="77" t="s">
        <v>103</v>
      </c>
      <c r="C27" s="77" t="s">
        <v>104</v>
      </c>
      <c r="D27" s="77" t="s">
        <v>105</v>
      </c>
      <c r="E27" s="77" t="s">
        <v>105</v>
      </c>
      <c r="F27" s="77" t="s">
        <v>105</v>
      </c>
    </row>
    <row r="30" spans="1:6" ht="15.95">
      <c r="A30" s="79" t="s">
        <v>84</v>
      </c>
    </row>
    <row r="32" spans="1:6">
      <c r="A32" s="54" t="s">
        <v>71</v>
      </c>
      <c r="B32" s="49" t="s">
        <v>106</v>
      </c>
      <c r="C32" s="49" t="s">
        <v>107</v>
      </c>
    </row>
    <row r="33" spans="1:9">
      <c r="A33" s="20" t="s">
        <v>5</v>
      </c>
      <c r="B33" s="49">
        <v>14450.246607000001</v>
      </c>
      <c r="C33" s="80">
        <v>4980</v>
      </c>
      <c r="D33" t="s">
        <v>108</v>
      </c>
    </row>
    <row r="34" spans="1:9">
      <c r="A34" s="20" t="s">
        <v>109</v>
      </c>
      <c r="B34" s="49">
        <v>2541.1351320000003</v>
      </c>
      <c r="C34" s="49">
        <v>1485</v>
      </c>
    </row>
    <row r="35" spans="1:9">
      <c r="A35" s="20" t="s">
        <v>33</v>
      </c>
      <c r="B35" s="49">
        <v>17159.142767999998</v>
      </c>
      <c r="C35" s="49">
        <v>3150</v>
      </c>
    </row>
    <row r="36" spans="1:9">
      <c r="A36" s="20" t="s">
        <v>49</v>
      </c>
      <c r="B36" s="49">
        <v>6007.2814862639989</v>
      </c>
      <c r="C36" s="80">
        <v>3090</v>
      </c>
      <c r="D36" t="s">
        <v>108</v>
      </c>
    </row>
    <row r="37" spans="1:9">
      <c r="A37" s="20" t="s">
        <v>73</v>
      </c>
      <c r="B37" s="49">
        <v>40157.805993263995</v>
      </c>
      <c r="C37" s="49">
        <v>12705</v>
      </c>
    </row>
    <row r="41" spans="1:9">
      <c r="A41" s="87" t="s">
        <v>110</v>
      </c>
      <c r="B41" s="87" t="s">
        <v>2</v>
      </c>
      <c r="C41" s="87" t="s">
        <v>3</v>
      </c>
      <c r="E41" s="87" t="s">
        <v>110</v>
      </c>
      <c r="F41" s="87" t="s">
        <v>111</v>
      </c>
      <c r="G41" s="87" t="s">
        <v>112</v>
      </c>
    </row>
    <row r="42" spans="1:9">
      <c r="A42" s="6" t="s">
        <v>5</v>
      </c>
      <c r="B42" s="10">
        <v>14450.246607000001</v>
      </c>
      <c r="C42" s="10">
        <v>4980</v>
      </c>
      <c r="E42" s="11" t="s">
        <v>5</v>
      </c>
      <c r="F42" s="10">
        <v>2715</v>
      </c>
      <c r="G42" s="10">
        <v>3847.5</v>
      </c>
      <c r="H42" s="49">
        <f>+C42-G42</f>
        <v>1132.5</v>
      </c>
    </row>
    <row r="43" spans="1:9">
      <c r="A43" s="6" t="s">
        <v>109</v>
      </c>
      <c r="B43" s="10">
        <v>2541.1351320000003</v>
      </c>
      <c r="C43" s="10">
        <v>1485</v>
      </c>
      <c r="E43" s="6" t="s">
        <v>109</v>
      </c>
      <c r="F43" s="10">
        <v>4132.5</v>
      </c>
      <c r="G43" s="10">
        <v>4132.5</v>
      </c>
      <c r="H43" s="49">
        <f t="shared" ref="H43:H44" si="2">+C43-G43</f>
        <v>-2647.5</v>
      </c>
    </row>
    <row r="44" spans="1:9">
      <c r="A44" s="6" t="s">
        <v>33</v>
      </c>
      <c r="B44" s="10">
        <v>17159.142767999998</v>
      </c>
      <c r="C44" s="10">
        <v>3150</v>
      </c>
      <c r="E44" s="6" t="s">
        <v>33</v>
      </c>
      <c r="F44" s="10">
        <v>3562.5</v>
      </c>
      <c r="G44" s="10">
        <v>3562.5</v>
      </c>
      <c r="H44" s="49">
        <f t="shared" si="2"/>
        <v>-412.5</v>
      </c>
    </row>
    <row r="45" spans="1:9">
      <c r="A45" s="6" t="s">
        <v>49</v>
      </c>
      <c r="B45" s="10">
        <v>6007.2814862639989</v>
      </c>
      <c r="C45" s="10">
        <v>3090</v>
      </c>
      <c r="E45" s="6" t="s">
        <v>49</v>
      </c>
      <c r="F45" s="10">
        <v>2325</v>
      </c>
      <c r="G45" s="10">
        <v>2707.5</v>
      </c>
      <c r="H45" s="49">
        <f>+C45-G45</f>
        <v>382.5</v>
      </c>
      <c r="I45" s="49">
        <f>+G45-H45</f>
        <v>2325</v>
      </c>
    </row>
    <row r="46" spans="1:9">
      <c r="A46" s="87" t="s">
        <v>4</v>
      </c>
      <c r="B46" s="88">
        <f>SUM(B42:B45)</f>
        <v>40157.805993263995</v>
      </c>
      <c r="C46" s="88">
        <f>SUM(C42:C45)</f>
        <v>12705</v>
      </c>
    </row>
    <row r="49" spans="1:6">
      <c r="A49" t="s">
        <v>85</v>
      </c>
      <c r="E49" s="87" t="s">
        <v>0</v>
      </c>
      <c r="F49" s="87" t="s">
        <v>3</v>
      </c>
    </row>
    <row r="50" spans="1:6">
      <c r="E50" s="11" t="s">
        <v>5</v>
      </c>
      <c r="F50" s="10">
        <v>4510</v>
      </c>
    </row>
    <row r="51" spans="1:6">
      <c r="E51" s="6" t="s">
        <v>109</v>
      </c>
      <c r="F51" s="10">
        <v>1625</v>
      </c>
    </row>
    <row r="52" spans="1:6">
      <c r="E52" s="6" t="s">
        <v>33</v>
      </c>
      <c r="F52" s="10">
        <v>2880</v>
      </c>
    </row>
    <row r="53" spans="1:6">
      <c r="E53" s="6" t="s">
        <v>49</v>
      </c>
      <c r="F53" s="10">
        <v>3270</v>
      </c>
    </row>
    <row r="54" spans="1:6">
      <c r="E54" s="42" t="s">
        <v>73</v>
      </c>
      <c r="F54" s="19">
        <v>12285</v>
      </c>
    </row>
  </sheetData>
  <pageMargins left="0.7" right="0.7" top="0.75" bottom="0.75" header="0.3" footer="0.3"/>
  <pageSetup orientation="portrait" horizontalDpi="360" verticalDpi="36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063-3832-460D-83C0-1DC404C08761}">
  <dimension ref="A3:E71"/>
  <sheetViews>
    <sheetView topLeftCell="A51" workbookViewId="0">
      <selection activeCell="B3" sqref="B3"/>
    </sheetView>
  </sheetViews>
  <sheetFormatPr defaultColWidth="11.42578125" defaultRowHeight="14.45"/>
  <cols>
    <col min="1" max="1" width="26.85546875" customWidth="1"/>
    <col min="2" max="2" width="63.140625" bestFit="1" customWidth="1"/>
    <col min="3" max="3" width="23.140625" bestFit="1" customWidth="1"/>
    <col min="4" max="4" width="21.28515625" bestFit="1" customWidth="1"/>
    <col min="5" max="5" width="11.42578125" bestFit="1" customWidth="1"/>
  </cols>
  <sheetData>
    <row r="3" spans="1:5">
      <c r="A3" s="87" t="s">
        <v>0</v>
      </c>
      <c r="B3" s="87" t="s">
        <v>1</v>
      </c>
      <c r="C3" s="87" t="s">
        <v>2</v>
      </c>
      <c r="D3" s="87" t="s">
        <v>3</v>
      </c>
      <c r="E3" s="87" t="s">
        <v>4</v>
      </c>
    </row>
    <row r="4" spans="1:5">
      <c r="A4" s="6" t="s">
        <v>5</v>
      </c>
      <c r="B4" s="6" t="s">
        <v>6</v>
      </c>
      <c r="C4" s="10">
        <v>0</v>
      </c>
      <c r="D4" s="10">
        <v>0</v>
      </c>
      <c r="E4" s="11">
        <f>+C4+D4</f>
        <v>0</v>
      </c>
    </row>
    <row r="5" spans="1:5">
      <c r="A5" s="6" t="s">
        <v>5</v>
      </c>
      <c r="B5" s="6" t="s">
        <v>7</v>
      </c>
      <c r="C5" s="10">
        <v>2613.5795880000001</v>
      </c>
      <c r="D5" s="10">
        <f>VLOOKUP(B5,'VISIBILIDAD '!$C$3:$U$45,19,FALSE)</f>
        <v>750</v>
      </c>
      <c r="E5" s="11">
        <f t="shared" ref="E5:E68" si="0">+C5+D5</f>
        <v>3363.5795880000001</v>
      </c>
    </row>
    <row r="6" spans="1:5">
      <c r="A6" s="6" t="s">
        <v>5</v>
      </c>
      <c r="B6" s="6" t="s">
        <v>8</v>
      </c>
      <c r="C6" s="10">
        <v>862.40548200000012</v>
      </c>
      <c r="D6" s="10">
        <f>VLOOKUP(B6,'VISIBILIDAD '!$C$3:$U$45,19,FALSE)</f>
        <v>540</v>
      </c>
      <c r="E6" s="11">
        <f t="shared" si="0"/>
        <v>1402.4054820000001</v>
      </c>
    </row>
    <row r="7" spans="1:5">
      <c r="A7" s="6" t="s">
        <v>5</v>
      </c>
      <c r="B7" s="6" t="s">
        <v>9</v>
      </c>
      <c r="C7" s="10">
        <v>737.81021700000019</v>
      </c>
      <c r="D7" s="10">
        <v>0</v>
      </c>
      <c r="E7" s="11">
        <f t="shared" si="0"/>
        <v>737.81021700000019</v>
      </c>
    </row>
    <row r="8" spans="1:5">
      <c r="A8" s="6" t="s">
        <v>5</v>
      </c>
      <c r="B8" s="6" t="s">
        <v>10</v>
      </c>
      <c r="C8" s="10">
        <v>262.77763200000004</v>
      </c>
      <c r="D8" s="10">
        <f>VLOOKUP(B8,'VISIBILIDAD '!$C$3:$U$45,19,FALSE)</f>
        <v>150</v>
      </c>
      <c r="E8" s="11">
        <f t="shared" si="0"/>
        <v>412.77763200000004</v>
      </c>
    </row>
    <row r="9" spans="1:5">
      <c r="A9" s="6" t="s">
        <v>5</v>
      </c>
      <c r="B9" s="6" t="s">
        <v>11</v>
      </c>
      <c r="C9" s="10">
        <v>2338.199595</v>
      </c>
      <c r="D9" s="10">
        <f>VLOOKUP(B9,'VISIBILIDAD '!$C$3:$U$45,19,FALSE)</f>
        <v>510</v>
      </c>
      <c r="E9" s="11">
        <f t="shared" si="0"/>
        <v>2848.199595</v>
      </c>
    </row>
    <row r="10" spans="1:5">
      <c r="A10" s="6" t="s">
        <v>5</v>
      </c>
      <c r="B10" s="6" t="s">
        <v>12</v>
      </c>
      <c r="C10" s="10">
        <v>0</v>
      </c>
      <c r="D10" s="10">
        <f>VLOOKUP(B10,'VISIBILIDAD '!$C$3:$U$45,19,FALSE)</f>
        <v>0</v>
      </c>
      <c r="E10" s="11">
        <f t="shared" si="0"/>
        <v>0</v>
      </c>
    </row>
    <row r="11" spans="1:5">
      <c r="A11" s="6" t="s">
        <v>5</v>
      </c>
      <c r="B11" s="6" t="s">
        <v>13</v>
      </c>
      <c r="C11" s="10">
        <v>0</v>
      </c>
      <c r="D11" s="10">
        <f>VLOOKUP(B11,'VISIBILIDAD '!$C$3:$U$45,19,FALSE)</f>
        <v>300</v>
      </c>
      <c r="E11" s="11">
        <f t="shared" si="0"/>
        <v>300</v>
      </c>
    </row>
    <row r="12" spans="1:5">
      <c r="A12" s="6" t="s">
        <v>5</v>
      </c>
      <c r="B12" s="6" t="s">
        <v>113</v>
      </c>
      <c r="C12" s="10">
        <v>1458.6191759999999</v>
      </c>
      <c r="D12" s="10">
        <v>330</v>
      </c>
      <c r="E12" s="11">
        <f t="shared" si="0"/>
        <v>1788.6191759999999</v>
      </c>
    </row>
    <row r="13" spans="1:5">
      <c r="A13" s="6" t="s">
        <v>5</v>
      </c>
      <c r="B13" s="6" t="s">
        <v>14</v>
      </c>
      <c r="C13" s="10">
        <v>480.55511999999999</v>
      </c>
      <c r="D13" s="10">
        <v>0</v>
      </c>
      <c r="E13" s="11">
        <f t="shared" si="0"/>
        <v>480.55511999999999</v>
      </c>
    </row>
    <row r="14" spans="1:5">
      <c r="A14" s="6" t="s">
        <v>5</v>
      </c>
      <c r="B14" s="6" t="s">
        <v>15</v>
      </c>
      <c r="C14" s="10">
        <v>1932.747813</v>
      </c>
      <c r="D14" s="10">
        <v>1050</v>
      </c>
      <c r="E14" s="11">
        <f t="shared" si="0"/>
        <v>2982.747813</v>
      </c>
    </row>
    <row r="15" spans="1:5">
      <c r="A15" s="6" t="s">
        <v>5</v>
      </c>
      <c r="B15" s="6" t="s">
        <v>17</v>
      </c>
      <c r="C15" s="10">
        <v>940.10965800000008</v>
      </c>
      <c r="D15" s="10">
        <f>VLOOKUP(B15,'VISIBILIDAD '!$C$3:$U$45,19,FALSE)</f>
        <v>360</v>
      </c>
      <c r="E15" s="11">
        <f t="shared" si="0"/>
        <v>1300.1096580000001</v>
      </c>
    </row>
    <row r="16" spans="1:5">
      <c r="A16" s="6" t="s">
        <v>5</v>
      </c>
      <c r="B16" s="6" t="s">
        <v>18</v>
      </c>
      <c r="C16" s="10">
        <v>278.63874900000002</v>
      </c>
      <c r="D16" s="10">
        <f>VLOOKUP(B16,'VISIBILIDAD '!$C$3:$U$45,19,FALSE)</f>
        <v>0</v>
      </c>
      <c r="E16" s="11">
        <f t="shared" si="0"/>
        <v>278.63874900000002</v>
      </c>
    </row>
    <row r="17" spans="1:5">
      <c r="A17" s="6" t="s">
        <v>5</v>
      </c>
      <c r="B17" s="6" t="s">
        <v>114</v>
      </c>
      <c r="C17" s="10">
        <v>0</v>
      </c>
      <c r="D17" s="10">
        <v>0</v>
      </c>
      <c r="E17" s="11">
        <f t="shared" si="0"/>
        <v>0</v>
      </c>
    </row>
    <row r="18" spans="1:5">
      <c r="A18" s="6" t="s">
        <v>5</v>
      </c>
      <c r="B18" s="6" t="s">
        <v>19</v>
      </c>
      <c r="C18" s="10">
        <v>0</v>
      </c>
      <c r="D18" s="10">
        <v>0</v>
      </c>
      <c r="E18" s="11">
        <f t="shared" si="0"/>
        <v>0</v>
      </c>
    </row>
    <row r="19" spans="1:5">
      <c r="A19" s="6" t="s">
        <v>5</v>
      </c>
      <c r="B19" s="6" t="s">
        <v>20</v>
      </c>
      <c r="C19" s="10">
        <v>793.79265600000008</v>
      </c>
      <c r="D19" s="10">
        <f>VLOOKUP(B19,'VISIBILIDAD '!$C$3:$U$45,19,FALSE)</f>
        <v>510</v>
      </c>
      <c r="E19" s="11">
        <f t="shared" si="0"/>
        <v>1303.7926560000001</v>
      </c>
    </row>
    <row r="20" spans="1:5">
      <c r="A20" s="6" t="s">
        <v>5</v>
      </c>
      <c r="B20" s="6" t="s">
        <v>21</v>
      </c>
      <c r="C20" s="10">
        <v>0</v>
      </c>
      <c r="D20" s="10">
        <v>0</v>
      </c>
      <c r="E20" s="11">
        <f t="shared" si="0"/>
        <v>0</v>
      </c>
    </row>
    <row r="21" spans="1:5">
      <c r="A21" s="6" t="s">
        <v>5</v>
      </c>
      <c r="B21" s="6" t="s">
        <v>22</v>
      </c>
      <c r="C21" s="10">
        <v>983.01885600000003</v>
      </c>
      <c r="D21" s="10">
        <f>VLOOKUP(B21,'VISIBILIDAD '!$C$3:$U$45,19,FALSE)</f>
        <v>150</v>
      </c>
      <c r="E21" s="11">
        <f t="shared" si="0"/>
        <v>1133.0188560000001</v>
      </c>
    </row>
    <row r="22" spans="1:5">
      <c r="A22" s="6" t="s">
        <v>5</v>
      </c>
      <c r="B22" s="6" t="s">
        <v>23</v>
      </c>
      <c r="C22" s="10">
        <v>347.63943599999999</v>
      </c>
      <c r="D22" s="10">
        <f>VLOOKUP(B22,'VISIBILIDAD '!$C$3:$U$45,19,FALSE)</f>
        <v>330</v>
      </c>
      <c r="E22" s="11">
        <f t="shared" si="0"/>
        <v>677.63943599999993</v>
      </c>
    </row>
    <row r="23" spans="1:5">
      <c r="A23" s="6" t="s">
        <v>5</v>
      </c>
      <c r="B23" s="6" t="s">
        <v>24</v>
      </c>
      <c r="C23" s="10">
        <v>0</v>
      </c>
      <c r="D23" s="10">
        <f>VLOOKUP(B23,'VISIBILIDAD '!$C$3:$U$45,19,FALSE)</f>
        <v>0</v>
      </c>
      <c r="E23" s="11">
        <f t="shared" si="0"/>
        <v>0</v>
      </c>
    </row>
    <row r="24" spans="1:5">
      <c r="A24" s="6" t="s">
        <v>5</v>
      </c>
      <c r="B24" s="6" t="s">
        <v>25</v>
      </c>
      <c r="C24" s="10">
        <v>420.35262900000009</v>
      </c>
      <c r="D24" s="10">
        <v>0</v>
      </c>
      <c r="E24" s="11">
        <f t="shared" si="0"/>
        <v>420.35262900000009</v>
      </c>
    </row>
    <row r="25" spans="1:5">
      <c r="A25" s="42" t="s">
        <v>79</v>
      </c>
      <c r="B25" s="6"/>
      <c r="C25" s="19">
        <v>14450.246607000001</v>
      </c>
      <c r="D25" s="86">
        <f>SUM(D4:D24)</f>
        <v>4980</v>
      </c>
      <c r="E25" s="11">
        <f t="shared" si="0"/>
        <v>19430.246607000001</v>
      </c>
    </row>
    <row r="26" spans="1:5">
      <c r="A26" s="6" t="s">
        <v>109</v>
      </c>
      <c r="B26" s="6" t="s">
        <v>27</v>
      </c>
      <c r="C26" s="10">
        <v>0</v>
      </c>
      <c r="D26" s="10">
        <f>VLOOKUP(B26,'VISIBILIDAD '!$C$3:$U$45,19,FALSE)</f>
        <v>450</v>
      </c>
      <c r="E26" s="11">
        <f t="shared" si="0"/>
        <v>450</v>
      </c>
    </row>
    <row r="27" spans="1:5">
      <c r="A27" s="6" t="s">
        <v>109</v>
      </c>
      <c r="B27" s="6" t="s">
        <v>115</v>
      </c>
      <c r="C27" s="10">
        <v>371.64530400000001</v>
      </c>
      <c r="D27" s="10">
        <v>270</v>
      </c>
      <c r="E27" s="11">
        <f t="shared" si="0"/>
        <v>641.64530400000001</v>
      </c>
    </row>
    <row r="28" spans="1:5">
      <c r="A28" s="6" t="s">
        <v>109</v>
      </c>
      <c r="B28" s="6" t="s">
        <v>28</v>
      </c>
      <c r="C28" s="10">
        <v>183.79488000000003</v>
      </c>
      <c r="D28" s="10">
        <v>405</v>
      </c>
      <c r="E28" s="11">
        <f t="shared" si="0"/>
        <v>588.79488000000003</v>
      </c>
    </row>
    <row r="29" spans="1:5">
      <c r="A29" s="6" t="s">
        <v>109</v>
      </c>
      <c r="B29" s="6" t="s">
        <v>29</v>
      </c>
      <c r="C29" s="10">
        <v>1146.2880000000002</v>
      </c>
      <c r="D29" s="10">
        <v>0</v>
      </c>
      <c r="E29" s="11">
        <f t="shared" si="0"/>
        <v>1146.2880000000002</v>
      </c>
    </row>
    <row r="30" spans="1:5">
      <c r="A30" s="6" t="s">
        <v>109</v>
      </c>
      <c r="B30" s="6" t="s">
        <v>30</v>
      </c>
      <c r="C30" s="10">
        <v>572.74800000000016</v>
      </c>
      <c r="D30" s="10">
        <v>0</v>
      </c>
      <c r="E30" s="11">
        <f t="shared" si="0"/>
        <v>572.74800000000016</v>
      </c>
    </row>
    <row r="31" spans="1:5">
      <c r="A31" s="6" t="s">
        <v>109</v>
      </c>
      <c r="B31" s="6" t="s">
        <v>32</v>
      </c>
      <c r="C31" s="10">
        <v>266.65894800000001</v>
      </c>
      <c r="D31" s="10">
        <f>VLOOKUP(B31,'VISIBILIDAD '!$C$3:$U$45,19,FALSE)</f>
        <v>360</v>
      </c>
      <c r="E31" s="11">
        <f t="shared" si="0"/>
        <v>626.65894800000001</v>
      </c>
    </row>
    <row r="32" spans="1:5">
      <c r="A32" s="42" t="s">
        <v>116</v>
      </c>
      <c r="B32" s="6"/>
      <c r="C32" s="19">
        <v>2354.1505320000006</v>
      </c>
      <c r="D32" s="19">
        <f>SUM(D26:D31)</f>
        <v>1485</v>
      </c>
      <c r="E32" s="11">
        <f t="shared" si="0"/>
        <v>3839.1505320000006</v>
      </c>
    </row>
    <row r="33" spans="1:5">
      <c r="A33" s="6" t="s">
        <v>33</v>
      </c>
      <c r="B33" s="6" t="s">
        <v>117</v>
      </c>
      <c r="C33" s="10">
        <v>983.31902100000002</v>
      </c>
      <c r="D33" s="10">
        <v>270</v>
      </c>
      <c r="E33" s="11">
        <f t="shared" si="0"/>
        <v>1253.319021</v>
      </c>
    </row>
    <row r="34" spans="1:5">
      <c r="A34" s="6" t="s">
        <v>33</v>
      </c>
      <c r="B34" s="6" t="s">
        <v>35</v>
      </c>
      <c r="C34" s="10">
        <v>2900.7594870000003</v>
      </c>
      <c r="D34" s="10">
        <f>VLOOKUP(B34,'VISIBILIDAD '!$C$3:$U$45,19,FALSE)</f>
        <v>120</v>
      </c>
      <c r="E34" s="11">
        <f t="shared" si="0"/>
        <v>3020.7594870000003</v>
      </c>
    </row>
    <row r="35" spans="1:5">
      <c r="A35" s="6" t="s">
        <v>33</v>
      </c>
      <c r="B35" s="6" t="s">
        <v>118</v>
      </c>
      <c r="C35" s="10">
        <v>2301.470832</v>
      </c>
      <c r="D35" s="10">
        <v>330</v>
      </c>
      <c r="E35" s="11">
        <f t="shared" si="0"/>
        <v>2631.470832</v>
      </c>
    </row>
    <row r="36" spans="1:5">
      <c r="A36" s="6" t="s">
        <v>33</v>
      </c>
      <c r="B36" s="6" t="s">
        <v>37</v>
      </c>
      <c r="C36" s="10">
        <v>7890.9679290000004</v>
      </c>
      <c r="D36" s="10">
        <f>VLOOKUP(B36,'VISIBILIDAD '!$C$3:$U$45,19,FALSE)</f>
        <v>120</v>
      </c>
      <c r="E36" s="11">
        <f t="shared" si="0"/>
        <v>8010.9679290000004</v>
      </c>
    </row>
    <row r="37" spans="1:5">
      <c r="A37" s="6" t="s">
        <v>33</v>
      </c>
      <c r="B37" s="6" t="s">
        <v>38</v>
      </c>
      <c r="C37" s="10">
        <v>0</v>
      </c>
      <c r="D37" s="10">
        <f>VLOOKUP(B37,'VISIBILIDAD '!$C$3:$U$45,19,FALSE)</f>
        <v>120</v>
      </c>
      <c r="E37" s="11">
        <f t="shared" si="0"/>
        <v>120</v>
      </c>
    </row>
    <row r="38" spans="1:5">
      <c r="A38" s="6" t="s">
        <v>33</v>
      </c>
      <c r="B38" s="6" t="s">
        <v>39</v>
      </c>
      <c r="C38" s="10">
        <v>0</v>
      </c>
      <c r="D38" s="10">
        <f>VLOOKUP(B38,'VISIBILIDAD '!$C$3:$U$45,19,FALSE)</f>
        <v>480</v>
      </c>
      <c r="E38" s="11">
        <f t="shared" si="0"/>
        <v>480</v>
      </c>
    </row>
    <row r="39" spans="1:5">
      <c r="A39" s="6" t="s">
        <v>33</v>
      </c>
      <c r="B39" s="6" t="s">
        <v>40</v>
      </c>
      <c r="C39" s="10">
        <v>909.30625500000008</v>
      </c>
      <c r="D39" s="10">
        <f>VLOOKUP(B39,'VISIBILIDAD '!$C$3:$U$45,19,FALSE)</f>
        <v>360</v>
      </c>
      <c r="E39" s="11">
        <f t="shared" si="0"/>
        <v>1269.306255</v>
      </c>
    </row>
    <row r="40" spans="1:5">
      <c r="A40" s="6" t="s">
        <v>33</v>
      </c>
      <c r="B40" s="6" t="s">
        <v>41</v>
      </c>
      <c r="C40" s="10">
        <v>0</v>
      </c>
      <c r="D40" s="10">
        <v>120</v>
      </c>
      <c r="E40" s="11">
        <f t="shared" si="0"/>
        <v>120</v>
      </c>
    </row>
    <row r="41" spans="1:5">
      <c r="A41" s="6" t="s">
        <v>33</v>
      </c>
      <c r="B41" s="6" t="s">
        <v>42</v>
      </c>
      <c r="C41" s="10">
        <v>301.57264200000003</v>
      </c>
      <c r="D41" s="10">
        <f>VLOOKUP(B41,'VISIBILIDAD '!$C$3:$U$45,19,FALSE)</f>
        <v>0</v>
      </c>
      <c r="E41" s="11">
        <f t="shared" si="0"/>
        <v>301.57264200000003</v>
      </c>
    </row>
    <row r="42" spans="1:5">
      <c r="A42" s="6" t="s">
        <v>33</v>
      </c>
      <c r="B42" s="6" t="s">
        <v>43</v>
      </c>
      <c r="C42" s="10">
        <v>0</v>
      </c>
      <c r="D42" s="10">
        <f>VLOOKUP(B42,'VISIBILIDAD '!$C$3:$U$45,19,FALSE)</f>
        <v>120</v>
      </c>
      <c r="E42" s="11">
        <f t="shared" si="0"/>
        <v>120</v>
      </c>
    </row>
    <row r="43" spans="1:5">
      <c r="A43" s="6" t="s">
        <v>33</v>
      </c>
      <c r="B43" s="6" t="s">
        <v>44</v>
      </c>
      <c r="C43" s="10">
        <v>0</v>
      </c>
      <c r="D43" s="10">
        <f>VLOOKUP(B43,'VISIBILIDAD '!$C$3:$U$45,19,FALSE)</f>
        <v>120</v>
      </c>
      <c r="E43" s="11">
        <f t="shared" si="0"/>
        <v>120</v>
      </c>
    </row>
    <row r="44" spans="1:5">
      <c r="A44" s="6" t="s">
        <v>33</v>
      </c>
      <c r="B44" s="6" t="s">
        <v>45</v>
      </c>
      <c r="C44" s="10">
        <v>0</v>
      </c>
      <c r="D44" s="10">
        <f>VLOOKUP(B44,'VISIBILIDAD '!$C$3:$U$45,19,FALSE)</f>
        <v>420</v>
      </c>
      <c r="E44" s="11">
        <f t="shared" si="0"/>
        <v>420</v>
      </c>
    </row>
    <row r="45" spans="1:5">
      <c r="A45" s="6" t="s">
        <v>33</v>
      </c>
      <c r="B45" s="6" t="s">
        <v>46</v>
      </c>
      <c r="C45" s="10">
        <v>0</v>
      </c>
      <c r="D45" s="10">
        <f>VLOOKUP(B45,'VISIBILIDAD '!$C$3:$U$45,19,FALSE)</f>
        <v>240</v>
      </c>
      <c r="E45" s="11">
        <f t="shared" si="0"/>
        <v>240</v>
      </c>
    </row>
    <row r="46" spans="1:5">
      <c r="A46" s="6" t="s">
        <v>33</v>
      </c>
      <c r="B46" s="6" t="s">
        <v>47</v>
      </c>
      <c r="C46" s="10">
        <v>0</v>
      </c>
      <c r="D46" s="10">
        <v>0</v>
      </c>
      <c r="E46" s="11">
        <f t="shared" si="0"/>
        <v>0</v>
      </c>
    </row>
    <row r="47" spans="1:5">
      <c r="A47" s="6" t="s">
        <v>33</v>
      </c>
      <c r="B47" s="6" t="s">
        <v>48</v>
      </c>
      <c r="C47" s="10">
        <v>1871.7466020000004</v>
      </c>
      <c r="D47" s="10">
        <f>VLOOKUP(B47,'VISIBILIDAD '!$C$3:$U$45,19,FALSE)</f>
        <v>180</v>
      </c>
      <c r="E47" s="11">
        <f t="shared" si="0"/>
        <v>2051.7466020000002</v>
      </c>
    </row>
    <row r="48" spans="1:5">
      <c r="A48" s="6" t="s">
        <v>33</v>
      </c>
      <c r="B48" s="6" t="s">
        <v>119</v>
      </c>
      <c r="C48" s="10"/>
      <c r="D48" s="10">
        <v>150</v>
      </c>
      <c r="E48" s="11">
        <f t="shared" si="0"/>
        <v>150</v>
      </c>
    </row>
    <row r="49" spans="1:5">
      <c r="A49" s="42" t="s">
        <v>81</v>
      </c>
      <c r="B49" s="6"/>
      <c r="C49" s="19">
        <v>17159.142767999998</v>
      </c>
      <c r="D49" s="19">
        <f>SUM(D33:D48)</f>
        <v>3150</v>
      </c>
      <c r="E49" s="11">
        <f t="shared" si="0"/>
        <v>20309.142767999998</v>
      </c>
    </row>
    <row r="50" spans="1:5">
      <c r="A50" s="6" t="s">
        <v>49</v>
      </c>
      <c r="B50" s="6" t="s">
        <v>50</v>
      </c>
      <c r="C50" s="10">
        <v>649.9408380000001</v>
      </c>
      <c r="D50" s="10">
        <f>VLOOKUP(B50,'VISIBILIDAD '!$C$3:$U$45,19,FALSE)</f>
        <v>480</v>
      </c>
      <c r="E50" s="11">
        <f t="shared" si="0"/>
        <v>1129.940838</v>
      </c>
    </row>
    <row r="51" spans="1:5">
      <c r="A51" s="6" t="s">
        <v>49</v>
      </c>
      <c r="B51" s="6" t="s">
        <v>51</v>
      </c>
      <c r="C51" s="10">
        <v>222.75000000000003</v>
      </c>
      <c r="D51" s="10">
        <v>0</v>
      </c>
      <c r="E51" s="11">
        <f t="shared" si="0"/>
        <v>222.75000000000003</v>
      </c>
    </row>
    <row r="52" spans="1:5">
      <c r="A52" s="6" t="s">
        <v>49</v>
      </c>
      <c r="B52" s="6" t="s">
        <v>52</v>
      </c>
      <c r="C52" s="10">
        <v>0</v>
      </c>
      <c r="D52" s="10">
        <v>0</v>
      </c>
      <c r="E52" s="11">
        <f t="shared" si="0"/>
        <v>0</v>
      </c>
    </row>
    <row r="53" spans="1:5">
      <c r="A53" s="6" t="s">
        <v>49</v>
      </c>
      <c r="B53" s="6" t="s">
        <v>53</v>
      </c>
      <c r="C53" s="10">
        <v>778.32029399999999</v>
      </c>
      <c r="D53" s="10">
        <f>VLOOKUP(B53,'VISIBILIDAD '!$C$3:$U$45,19,FALSE)</f>
        <v>390</v>
      </c>
      <c r="E53" s="11">
        <f t="shared" si="0"/>
        <v>1168.3202940000001</v>
      </c>
    </row>
    <row r="54" spans="1:5">
      <c r="A54" s="6" t="s">
        <v>49</v>
      </c>
      <c r="B54" s="6" t="s">
        <v>54</v>
      </c>
      <c r="C54" s="10">
        <v>0</v>
      </c>
      <c r="D54" s="10">
        <v>0</v>
      </c>
      <c r="E54" s="11">
        <f t="shared" si="0"/>
        <v>0</v>
      </c>
    </row>
    <row r="55" spans="1:5">
      <c r="A55" s="6" t="s">
        <v>49</v>
      </c>
      <c r="B55" s="6" t="s">
        <v>55</v>
      </c>
      <c r="C55" s="10">
        <v>0</v>
      </c>
      <c r="D55" s="10">
        <v>0</v>
      </c>
      <c r="E55" s="11">
        <f t="shared" si="0"/>
        <v>0</v>
      </c>
    </row>
    <row r="56" spans="1:5">
      <c r="A56" s="6" t="s">
        <v>49</v>
      </c>
      <c r="B56" s="6" t="s">
        <v>56</v>
      </c>
      <c r="C56" s="10">
        <v>0</v>
      </c>
      <c r="D56" s="10">
        <f>VLOOKUP(B56,'VISIBILIDAD '!$C$3:$U$45,19,FALSE)</f>
        <v>720</v>
      </c>
      <c r="E56" s="11">
        <f t="shared" si="0"/>
        <v>720</v>
      </c>
    </row>
    <row r="57" spans="1:5">
      <c r="A57" s="6" t="s">
        <v>49</v>
      </c>
      <c r="B57" s="6" t="s">
        <v>57</v>
      </c>
      <c r="C57" s="10">
        <v>1247.8927200000001</v>
      </c>
      <c r="D57" s="10">
        <f>VLOOKUP(B57,'VISIBILIDAD '!$C$3:$U$45,19,FALSE)</f>
        <v>240</v>
      </c>
      <c r="E57" s="11">
        <f t="shared" si="0"/>
        <v>1487.8927200000001</v>
      </c>
    </row>
    <row r="58" spans="1:5">
      <c r="A58" s="6" t="s">
        <v>49</v>
      </c>
      <c r="B58" s="6" t="s">
        <v>58</v>
      </c>
      <c r="C58" s="10">
        <v>1347.236238</v>
      </c>
      <c r="D58" s="10">
        <v>450</v>
      </c>
      <c r="E58" s="11">
        <f t="shared" si="0"/>
        <v>1797.236238</v>
      </c>
    </row>
    <row r="59" spans="1:5">
      <c r="A59" s="6" t="s">
        <v>49</v>
      </c>
      <c r="B59" s="6" t="s">
        <v>59</v>
      </c>
      <c r="C59" s="10">
        <v>0</v>
      </c>
      <c r="D59" s="10">
        <v>0</v>
      </c>
      <c r="E59" s="11">
        <f t="shared" si="0"/>
        <v>0</v>
      </c>
    </row>
    <row r="60" spans="1:5">
      <c r="A60" s="6" t="s">
        <v>49</v>
      </c>
      <c r="B60" s="6" t="s">
        <v>60</v>
      </c>
      <c r="C60" s="10">
        <v>499.78785000000005</v>
      </c>
      <c r="D60" s="10">
        <f>VLOOKUP(B60,'VISIBILIDAD '!$C$3:$U$45,19,FALSE)</f>
        <v>270</v>
      </c>
      <c r="E60" s="11">
        <f t="shared" si="0"/>
        <v>769.78785000000005</v>
      </c>
    </row>
    <row r="61" spans="1:5">
      <c r="A61" s="6" t="s">
        <v>49</v>
      </c>
      <c r="B61" s="6" t="s">
        <v>61</v>
      </c>
      <c r="C61" s="10">
        <v>0</v>
      </c>
      <c r="D61" s="10">
        <v>0</v>
      </c>
      <c r="E61" s="11">
        <f t="shared" si="0"/>
        <v>0</v>
      </c>
    </row>
    <row r="62" spans="1:5">
      <c r="A62" s="6" t="s">
        <v>49</v>
      </c>
      <c r="B62" s="6" t="s">
        <v>62</v>
      </c>
      <c r="C62" s="10">
        <v>615.67782</v>
      </c>
      <c r="D62" s="10">
        <f>VLOOKUP(B62,'VISIBILIDAD '!$C$3:$U$45,19,FALSE)</f>
        <v>150</v>
      </c>
      <c r="E62" s="11">
        <f t="shared" si="0"/>
        <v>765.67782</v>
      </c>
    </row>
    <row r="63" spans="1:5">
      <c r="A63" s="6" t="s">
        <v>49</v>
      </c>
      <c r="B63" s="6" t="s">
        <v>63</v>
      </c>
      <c r="C63" s="10">
        <v>261.57130526399999</v>
      </c>
      <c r="D63" s="10">
        <v>0</v>
      </c>
      <c r="E63" s="11">
        <f t="shared" si="0"/>
        <v>261.57130526399999</v>
      </c>
    </row>
    <row r="64" spans="1:5">
      <c r="A64" s="6" t="s">
        <v>49</v>
      </c>
      <c r="B64" s="6" t="s">
        <v>64</v>
      </c>
      <c r="C64" s="10">
        <v>112.20092100000001</v>
      </c>
      <c r="D64" s="10">
        <f>VLOOKUP(B64,'VISIBILIDAD '!$C$3:$U$45,19,FALSE)</f>
        <v>120</v>
      </c>
      <c r="E64" s="11">
        <f t="shared" si="0"/>
        <v>232.20092099999999</v>
      </c>
    </row>
    <row r="65" spans="1:5">
      <c r="A65" s="6" t="s">
        <v>49</v>
      </c>
      <c r="B65" s="6" t="s">
        <v>65</v>
      </c>
      <c r="C65" s="10">
        <v>0</v>
      </c>
      <c r="D65" s="10">
        <f>VLOOKUP(B65,'VISIBILIDAD '!$C$3:$U$45,19,FALSE)</f>
        <v>150</v>
      </c>
      <c r="E65" s="11">
        <f t="shared" si="0"/>
        <v>150</v>
      </c>
    </row>
    <row r="66" spans="1:5">
      <c r="A66" s="6" t="s">
        <v>49</v>
      </c>
      <c r="B66" s="6" t="s">
        <v>66</v>
      </c>
      <c r="C66" s="10">
        <v>0</v>
      </c>
      <c r="D66" s="10">
        <v>0</v>
      </c>
      <c r="E66" s="11">
        <f t="shared" si="0"/>
        <v>0</v>
      </c>
    </row>
    <row r="67" spans="1:5">
      <c r="A67" s="6" t="s">
        <v>49</v>
      </c>
      <c r="B67" s="6" t="s">
        <v>67</v>
      </c>
      <c r="C67" s="10">
        <v>0</v>
      </c>
      <c r="D67" s="10">
        <v>0</v>
      </c>
      <c r="E67" s="11">
        <f t="shared" si="0"/>
        <v>0</v>
      </c>
    </row>
    <row r="68" spans="1:5">
      <c r="A68" s="6" t="s">
        <v>49</v>
      </c>
      <c r="B68" s="6" t="s">
        <v>69</v>
      </c>
      <c r="C68" s="10">
        <v>0</v>
      </c>
      <c r="D68" s="10">
        <v>0</v>
      </c>
      <c r="E68" s="11">
        <f t="shared" si="0"/>
        <v>0</v>
      </c>
    </row>
    <row r="69" spans="1:5">
      <c r="A69" s="6" t="s">
        <v>49</v>
      </c>
      <c r="B69" s="6" t="s">
        <v>120</v>
      </c>
      <c r="C69" s="10">
        <v>271.90350000000001</v>
      </c>
      <c r="D69" s="10">
        <v>120</v>
      </c>
      <c r="E69" s="11">
        <f t="shared" ref="E69:E71" si="1">+C69+D69</f>
        <v>391.90350000000001</v>
      </c>
    </row>
    <row r="70" spans="1:5">
      <c r="A70" s="42" t="s">
        <v>82</v>
      </c>
      <c r="B70" s="6"/>
      <c r="C70" s="19">
        <v>6007.2814862640007</v>
      </c>
      <c r="D70" s="86">
        <f>SUM(D50:D69)</f>
        <v>3090</v>
      </c>
      <c r="E70" s="11">
        <f t="shared" si="1"/>
        <v>9097.2814862640007</v>
      </c>
    </row>
    <row r="71" spans="1:5">
      <c r="C71" s="19">
        <f>SUM(C4:C24,C26:C31,C33:C47,C50:C69)</f>
        <v>40157.805993264003</v>
      </c>
      <c r="D71" s="63">
        <f>SUM(D4:D24,D26:D31,D33:D48,D50:D69)</f>
        <v>12705</v>
      </c>
      <c r="E71" s="11">
        <f t="shared" si="1"/>
        <v>52862.805993264003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7C93-34BF-436D-BF9D-68CC1CD23A84}">
  <dimension ref="A1:V46"/>
  <sheetViews>
    <sheetView topLeftCell="B1" zoomScale="80" zoomScaleNormal="80" workbookViewId="0">
      <selection activeCell="C3" sqref="C3:C45"/>
    </sheetView>
  </sheetViews>
  <sheetFormatPr defaultColWidth="9.140625" defaultRowHeight="15" customHeight="1" outlineLevelCol="1"/>
  <cols>
    <col min="1" max="1" width="32.85546875" hidden="1" customWidth="1"/>
    <col min="2" max="2" width="15.140625" customWidth="1"/>
    <col min="3" max="3" width="63.85546875" customWidth="1"/>
    <col min="4" max="4" width="20.5703125" bestFit="1" customWidth="1"/>
    <col min="5" max="5" width="15.85546875" bestFit="1" customWidth="1"/>
    <col min="6" max="6" width="10.42578125" bestFit="1" customWidth="1"/>
    <col min="7" max="7" width="13.7109375" bestFit="1" customWidth="1"/>
    <col min="8" max="8" width="15.85546875" bestFit="1" customWidth="1" outlineLevel="1"/>
    <col min="9" max="9" width="10.42578125" bestFit="1" customWidth="1" outlineLevel="1"/>
    <col min="10" max="10" width="13.7109375" bestFit="1" customWidth="1" outlineLevel="1"/>
    <col min="11" max="11" width="17.28515625" bestFit="1" customWidth="1" outlineLevel="1"/>
    <col min="12" max="12" width="22.5703125" style="17" bestFit="1" customWidth="1"/>
    <col min="13" max="13" width="19.85546875" style="17" bestFit="1" customWidth="1"/>
    <col min="14" max="14" width="21.85546875" style="17" bestFit="1" customWidth="1"/>
    <col min="15" max="17" width="11.140625" bestFit="1" customWidth="1"/>
    <col min="18" max="18" width="9" bestFit="1" customWidth="1"/>
    <col min="19" max="20" width="8.42578125" bestFit="1" customWidth="1"/>
    <col min="21" max="21" width="11" bestFit="1" customWidth="1"/>
    <col min="22" max="22" width="46.85546875" customWidth="1"/>
  </cols>
  <sheetData>
    <row r="1" spans="1:22" ht="15" customHeight="1">
      <c r="A1" t="s">
        <v>121</v>
      </c>
      <c r="E1" s="89" t="s">
        <v>122</v>
      </c>
      <c r="F1" s="89"/>
      <c r="G1" s="89"/>
      <c r="H1" s="89" t="s">
        <v>123</v>
      </c>
      <c r="I1" s="89"/>
      <c r="J1" s="89"/>
      <c r="K1" s="1"/>
      <c r="L1" s="89" t="s">
        <v>124</v>
      </c>
      <c r="M1" s="89"/>
      <c r="N1" s="89"/>
      <c r="O1" s="89" t="s">
        <v>125</v>
      </c>
      <c r="P1" s="89"/>
      <c r="Q1" s="89"/>
    </row>
    <row r="2" spans="1:22" s="5" customFormat="1" ht="29.1">
      <c r="A2" s="2" t="s">
        <v>126</v>
      </c>
      <c r="B2" s="3" t="s">
        <v>0</v>
      </c>
      <c r="C2" s="1" t="s">
        <v>127</v>
      </c>
      <c r="D2" s="4" t="s">
        <v>128</v>
      </c>
      <c r="E2" s="1" t="s">
        <v>129</v>
      </c>
      <c r="F2" s="1" t="s">
        <v>130</v>
      </c>
      <c r="G2" s="1" t="s">
        <v>131</v>
      </c>
      <c r="H2" s="1" t="s">
        <v>129</v>
      </c>
      <c r="I2" s="1" t="s">
        <v>130</v>
      </c>
      <c r="J2" s="1" t="s">
        <v>131</v>
      </c>
      <c r="K2" s="1" t="s">
        <v>132</v>
      </c>
      <c r="L2" s="1" t="s">
        <v>129</v>
      </c>
      <c r="M2" s="1" t="s">
        <v>130</v>
      </c>
      <c r="N2" s="1" t="s">
        <v>131</v>
      </c>
      <c r="O2" s="1" t="s">
        <v>129</v>
      </c>
      <c r="P2" s="1" t="s">
        <v>130</v>
      </c>
      <c r="Q2" s="1" t="s">
        <v>131</v>
      </c>
      <c r="R2" s="1" t="s">
        <v>129</v>
      </c>
      <c r="S2" s="1" t="s">
        <v>130</v>
      </c>
      <c r="T2" s="1" t="s">
        <v>131</v>
      </c>
      <c r="U2" s="1" t="s">
        <v>4</v>
      </c>
      <c r="V2" s="5" t="s">
        <v>133</v>
      </c>
    </row>
    <row r="3" spans="1:22" ht="14.45">
      <c r="A3" s="6" t="e">
        <f>CONCATENATE(C3,#REF!)</f>
        <v>#REF!</v>
      </c>
      <c r="B3" s="7" t="s">
        <v>49</v>
      </c>
      <c r="C3" s="51" t="s">
        <v>134</v>
      </c>
      <c r="D3" s="9" t="s">
        <v>135</v>
      </c>
      <c r="E3" s="6">
        <v>1</v>
      </c>
      <c r="F3" s="6">
        <v>1</v>
      </c>
      <c r="G3" s="6">
        <v>0</v>
      </c>
      <c r="H3" s="10">
        <v>360</v>
      </c>
      <c r="I3" s="10">
        <v>90</v>
      </c>
      <c r="J3" s="10">
        <f t="shared" ref="J3:J5" si="0">G3*180</f>
        <v>0</v>
      </c>
      <c r="K3" s="10">
        <f>+H3+I3+J3</f>
        <v>450</v>
      </c>
      <c r="L3" s="6" t="s">
        <v>136</v>
      </c>
      <c r="M3" s="6" t="s">
        <v>137</v>
      </c>
      <c r="N3" s="6"/>
      <c r="O3" t="s">
        <v>138</v>
      </c>
      <c r="P3" t="s">
        <v>138</v>
      </c>
      <c r="Q3" t="s">
        <v>139</v>
      </c>
      <c r="R3" s="13">
        <f>+IF(O3="CUMPLE",H3,0)</f>
        <v>360</v>
      </c>
      <c r="S3" s="13">
        <f>+IF(P3="CUMPLE",I3,0)</f>
        <v>90</v>
      </c>
      <c r="T3" s="13">
        <f>+IF(Q3="CUMPLE",J3,0)</f>
        <v>0</v>
      </c>
      <c r="U3" s="13">
        <f>+SUM(R3:T3)</f>
        <v>450</v>
      </c>
    </row>
    <row r="4" spans="1:22" ht="14.45">
      <c r="A4" s="6"/>
      <c r="B4" s="7" t="s">
        <v>49</v>
      </c>
      <c r="C4" s="51" t="s">
        <v>57</v>
      </c>
      <c r="D4" s="9" t="s">
        <v>135</v>
      </c>
      <c r="E4" s="6">
        <v>0</v>
      </c>
      <c r="F4" s="6">
        <v>2</v>
      </c>
      <c r="G4" s="6">
        <v>0</v>
      </c>
      <c r="H4" s="10">
        <f t="shared" ref="H4:H29" si="1">E4*240</f>
        <v>0</v>
      </c>
      <c r="I4" s="10">
        <f t="shared" ref="I4:I29" si="2">F4*120</f>
        <v>240</v>
      </c>
      <c r="J4" s="10">
        <f>+G4*120</f>
        <v>0</v>
      </c>
      <c r="K4" s="10">
        <f>+H4+I4+J4</f>
        <v>240</v>
      </c>
      <c r="L4" s="6"/>
      <c r="M4" s="6" t="s">
        <v>136</v>
      </c>
      <c r="N4" s="6"/>
      <c r="O4" t="s">
        <v>139</v>
      </c>
      <c r="P4" t="s">
        <v>138</v>
      </c>
      <c r="Q4" t="s">
        <v>139</v>
      </c>
      <c r="R4" s="13">
        <f t="shared" ref="R4:T45" si="3">+IF(O4="CUMPLE",H4,0)</f>
        <v>0</v>
      </c>
      <c r="S4" s="13">
        <f t="shared" si="3"/>
        <v>240</v>
      </c>
      <c r="T4" s="13">
        <f t="shared" si="3"/>
        <v>0</v>
      </c>
      <c r="U4" s="13">
        <f t="shared" ref="U4:U45" si="4">+SUM(R4:T4)</f>
        <v>240</v>
      </c>
    </row>
    <row r="5" spans="1:22" ht="14.45">
      <c r="A5" s="6" t="e">
        <f>CONCATENATE(C5,#REF!)</f>
        <v>#REF!</v>
      </c>
      <c r="B5" s="7" t="s">
        <v>49</v>
      </c>
      <c r="C5" s="51" t="s">
        <v>56</v>
      </c>
      <c r="D5" s="9" t="s">
        <v>135</v>
      </c>
      <c r="E5" s="6">
        <v>2</v>
      </c>
      <c r="F5" s="6">
        <v>0</v>
      </c>
      <c r="G5" s="6">
        <v>0</v>
      </c>
      <c r="H5" s="10">
        <v>720</v>
      </c>
      <c r="I5" s="10">
        <f>F5*90</f>
        <v>0</v>
      </c>
      <c r="J5" s="10">
        <f t="shared" si="0"/>
        <v>0</v>
      </c>
      <c r="K5" s="10">
        <f t="shared" ref="K5:K45" si="5">+H5+I5+J5</f>
        <v>720</v>
      </c>
      <c r="L5" s="6" t="s">
        <v>140</v>
      </c>
      <c r="M5" s="6"/>
      <c r="N5" s="6"/>
      <c r="O5" t="s">
        <v>138</v>
      </c>
      <c r="P5" t="s">
        <v>139</v>
      </c>
      <c r="Q5" t="s">
        <v>139</v>
      </c>
      <c r="R5" s="13">
        <f t="shared" si="3"/>
        <v>720</v>
      </c>
      <c r="S5" s="13">
        <f t="shared" si="3"/>
        <v>0</v>
      </c>
      <c r="T5" s="13">
        <f t="shared" si="3"/>
        <v>0</v>
      </c>
      <c r="U5" s="13">
        <f t="shared" si="4"/>
        <v>720</v>
      </c>
    </row>
    <row r="6" spans="1:22" ht="14.45">
      <c r="A6" s="6" t="e">
        <f>CONCATENATE(C6,#REF!)</f>
        <v>#REF!</v>
      </c>
      <c r="B6" s="7" t="s">
        <v>49</v>
      </c>
      <c r="C6" s="51" t="s">
        <v>65</v>
      </c>
      <c r="D6" s="9" t="s">
        <v>135</v>
      </c>
      <c r="E6" s="6">
        <v>1</v>
      </c>
      <c r="F6" s="6">
        <v>0</v>
      </c>
      <c r="G6" s="6">
        <v>0</v>
      </c>
      <c r="H6" s="10">
        <f>E6*150</f>
        <v>150</v>
      </c>
      <c r="I6" s="10">
        <v>0</v>
      </c>
      <c r="J6" s="10">
        <v>0</v>
      </c>
      <c r="K6" s="10">
        <f t="shared" si="5"/>
        <v>150</v>
      </c>
      <c r="L6" s="6" t="s">
        <v>141</v>
      </c>
      <c r="M6" s="6"/>
      <c r="N6" s="6"/>
      <c r="O6" t="s">
        <v>138</v>
      </c>
      <c r="P6" t="s">
        <v>139</v>
      </c>
      <c r="Q6" t="s">
        <v>139</v>
      </c>
      <c r="R6" s="13">
        <f t="shared" si="3"/>
        <v>150</v>
      </c>
      <c r="S6" s="13">
        <f t="shared" si="3"/>
        <v>0</v>
      </c>
      <c r="T6" s="13">
        <f t="shared" si="3"/>
        <v>0</v>
      </c>
      <c r="U6" s="13">
        <f t="shared" si="4"/>
        <v>150</v>
      </c>
    </row>
    <row r="7" spans="1:22" ht="14.45">
      <c r="A7" s="6"/>
      <c r="B7" s="7" t="s">
        <v>49</v>
      </c>
      <c r="C7" s="51" t="s">
        <v>62</v>
      </c>
      <c r="D7" s="9" t="s">
        <v>135</v>
      </c>
      <c r="E7" s="6">
        <v>0</v>
      </c>
      <c r="F7" s="6">
        <v>0</v>
      </c>
      <c r="G7" s="6">
        <v>1</v>
      </c>
      <c r="H7" s="10">
        <f>E7*150</f>
        <v>0</v>
      </c>
      <c r="I7" s="10">
        <f>+F7*120</f>
        <v>0</v>
      </c>
      <c r="J7" s="10">
        <v>150</v>
      </c>
      <c r="K7" s="10">
        <f t="shared" si="5"/>
        <v>150</v>
      </c>
      <c r="L7" s="6"/>
      <c r="M7" s="6"/>
      <c r="N7" s="6" t="s">
        <v>142</v>
      </c>
      <c r="O7" t="s">
        <v>139</v>
      </c>
      <c r="P7" t="s">
        <v>139</v>
      </c>
      <c r="Q7" t="s">
        <v>138</v>
      </c>
      <c r="R7" s="13">
        <f t="shared" si="3"/>
        <v>0</v>
      </c>
      <c r="S7" s="13">
        <f t="shared" si="3"/>
        <v>0</v>
      </c>
      <c r="T7" s="13">
        <f t="shared" si="3"/>
        <v>150</v>
      </c>
      <c r="U7" s="13">
        <f t="shared" si="4"/>
        <v>150</v>
      </c>
    </row>
    <row r="8" spans="1:22" ht="14.45">
      <c r="A8" s="6" t="e">
        <f>CONCATENATE(C8,#REF!)</f>
        <v>#REF!</v>
      </c>
      <c r="B8" s="7" t="s">
        <v>49</v>
      </c>
      <c r="C8" s="51" t="s">
        <v>53</v>
      </c>
      <c r="D8" s="9" t="s">
        <v>135</v>
      </c>
      <c r="E8" s="6">
        <v>1</v>
      </c>
      <c r="F8" s="6">
        <v>0</v>
      </c>
      <c r="G8" s="6">
        <v>2</v>
      </c>
      <c r="H8" s="10">
        <f>E8*150</f>
        <v>150</v>
      </c>
      <c r="I8" s="10">
        <f>F8*75</f>
        <v>0</v>
      </c>
      <c r="J8" s="10">
        <f>G8*120</f>
        <v>240</v>
      </c>
      <c r="K8" s="10">
        <f>+H8+I8+J8</f>
        <v>390</v>
      </c>
      <c r="L8" s="6" t="s">
        <v>136</v>
      </c>
      <c r="M8" s="6"/>
      <c r="N8" s="6" t="s">
        <v>143</v>
      </c>
      <c r="O8" t="s">
        <v>138</v>
      </c>
      <c r="P8" t="s">
        <v>139</v>
      </c>
      <c r="Q8" t="s">
        <v>138</v>
      </c>
      <c r="R8" s="13">
        <f t="shared" si="3"/>
        <v>150</v>
      </c>
      <c r="S8" s="13">
        <f t="shared" si="3"/>
        <v>0</v>
      </c>
      <c r="T8" s="13">
        <f t="shared" si="3"/>
        <v>240</v>
      </c>
      <c r="U8" s="13">
        <f t="shared" si="4"/>
        <v>390</v>
      </c>
    </row>
    <row r="9" spans="1:22" ht="14.45">
      <c r="A9" s="6" t="e">
        <f>CONCATENATE(C9,#REF!)</f>
        <v>#REF!</v>
      </c>
      <c r="B9" s="7" t="s">
        <v>5</v>
      </c>
      <c r="C9" s="51" t="s">
        <v>18</v>
      </c>
      <c r="D9" s="9" t="s">
        <v>135</v>
      </c>
      <c r="E9" s="6"/>
      <c r="F9" s="6"/>
      <c r="G9" s="6">
        <v>1</v>
      </c>
      <c r="H9" s="10">
        <f t="shared" si="1"/>
        <v>0</v>
      </c>
      <c r="I9" s="10">
        <f t="shared" si="2"/>
        <v>0</v>
      </c>
      <c r="J9" s="10">
        <f>G9*150</f>
        <v>150</v>
      </c>
      <c r="K9" s="10">
        <f t="shared" si="5"/>
        <v>150</v>
      </c>
      <c r="L9" s="6"/>
      <c r="M9" s="6"/>
      <c r="N9" s="6" t="s">
        <v>141</v>
      </c>
      <c r="O9" t="s">
        <v>139</v>
      </c>
      <c r="P9" t="s">
        <v>139</v>
      </c>
      <c r="Q9" t="s">
        <v>139</v>
      </c>
      <c r="R9" s="13">
        <f t="shared" si="3"/>
        <v>0</v>
      </c>
      <c r="S9" s="13">
        <f t="shared" si="3"/>
        <v>0</v>
      </c>
      <c r="T9" s="13">
        <f t="shared" si="3"/>
        <v>0</v>
      </c>
      <c r="U9" s="13">
        <f t="shared" si="4"/>
        <v>0</v>
      </c>
    </row>
    <row r="10" spans="1:22" ht="14.45">
      <c r="A10" s="6" t="e">
        <f>CONCATENATE(C10,#REF!)</f>
        <v>#REF!</v>
      </c>
      <c r="B10" s="7" t="s">
        <v>5</v>
      </c>
      <c r="C10" s="51" t="s">
        <v>23</v>
      </c>
      <c r="D10" s="9" t="s">
        <v>135</v>
      </c>
      <c r="E10" s="6">
        <v>0</v>
      </c>
      <c r="F10" s="6">
        <v>1</v>
      </c>
      <c r="G10" s="6">
        <v>1</v>
      </c>
      <c r="H10" s="10">
        <f t="shared" si="1"/>
        <v>0</v>
      </c>
      <c r="I10" s="10">
        <v>180</v>
      </c>
      <c r="J10" s="10">
        <v>150</v>
      </c>
      <c r="K10" s="10">
        <f>+H10+I10+J10</f>
        <v>330</v>
      </c>
      <c r="L10" s="6"/>
      <c r="M10" s="6" t="s">
        <v>137</v>
      </c>
      <c r="N10" s="6" t="s">
        <v>141</v>
      </c>
      <c r="O10" t="s">
        <v>139</v>
      </c>
      <c r="P10" t="s">
        <v>138</v>
      </c>
      <c r="Q10" t="s">
        <v>138</v>
      </c>
      <c r="R10" s="13">
        <f t="shared" si="3"/>
        <v>0</v>
      </c>
      <c r="S10" s="13">
        <f t="shared" si="3"/>
        <v>180</v>
      </c>
      <c r="T10" s="13">
        <f t="shared" si="3"/>
        <v>150</v>
      </c>
      <c r="U10" s="13">
        <f t="shared" si="4"/>
        <v>330</v>
      </c>
    </row>
    <row r="11" spans="1:22" ht="14.45">
      <c r="A11" s="6" t="e">
        <f>CONCATENATE(C11,#REF!)</f>
        <v>#REF!</v>
      </c>
      <c r="B11" s="7" t="s">
        <v>5</v>
      </c>
      <c r="C11" s="51" t="s">
        <v>7</v>
      </c>
      <c r="D11" s="9" t="s">
        <v>135</v>
      </c>
      <c r="E11" s="6">
        <v>1</v>
      </c>
      <c r="F11" s="6">
        <v>0</v>
      </c>
      <c r="G11" s="6">
        <v>1</v>
      </c>
      <c r="H11" s="10">
        <f>E11*600</f>
        <v>600</v>
      </c>
      <c r="I11" s="10">
        <f t="shared" si="2"/>
        <v>0</v>
      </c>
      <c r="J11" s="10">
        <v>150</v>
      </c>
      <c r="K11" s="10">
        <f t="shared" si="5"/>
        <v>750</v>
      </c>
      <c r="L11" s="6" t="s">
        <v>144</v>
      </c>
      <c r="M11" s="6"/>
      <c r="N11" s="6" t="s">
        <v>145</v>
      </c>
      <c r="O11" t="s">
        <v>138</v>
      </c>
      <c r="P11" t="s">
        <v>139</v>
      </c>
      <c r="Q11" t="s">
        <v>138</v>
      </c>
      <c r="R11" s="13">
        <f t="shared" si="3"/>
        <v>600</v>
      </c>
      <c r="S11" s="13">
        <f t="shared" si="3"/>
        <v>0</v>
      </c>
      <c r="T11" s="13">
        <f t="shared" si="3"/>
        <v>150</v>
      </c>
      <c r="U11" s="13">
        <f t="shared" si="4"/>
        <v>750</v>
      </c>
    </row>
    <row r="12" spans="1:22" ht="14.45">
      <c r="A12" s="6" t="e">
        <f>CONCATENATE(C12,#REF!)</f>
        <v>#REF!</v>
      </c>
      <c r="B12" s="7" t="s">
        <v>5</v>
      </c>
      <c r="C12" s="51" t="s">
        <v>11</v>
      </c>
      <c r="D12" s="9" t="s">
        <v>135</v>
      </c>
      <c r="E12" s="6">
        <v>1</v>
      </c>
      <c r="F12" s="6">
        <v>0</v>
      </c>
      <c r="G12" s="6">
        <v>1</v>
      </c>
      <c r="H12" s="10">
        <f>E12*360</f>
        <v>360</v>
      </c>
      <c r="I12" s="10">
        <f t="shared" si="2"/>
        <v>0</v>
      </c>
      <c r="J12" s="10">
        <v>150</v>
      </c>
      <c r="K12" s="10">
        <f t="shared" si="5"/>
        <v>510</v>
      </c>
      <c r="L12" s="6" t="s">
        <v>144</v>
      </c>
      <c r="M12" s="6"/>
      <c r="N12" s="6" t="s">
        <v>141</v>
      </c>
      <c r="O12" t="s">
        <v>138</v>
      </c>
      <c r="P12" t="s">
        <v>139</v>
      </c>
      <c r="Q12" t="s">
        <v>138</v>
      </c>
      <c r="R12" s="13">
        <f t="shared" si="3"/>
        <v>360</v>
      </c>
      <c r="S12" s="13">
        <f t="shared" si="3"/>
        <v>0</v>
      </c>
      <c r="T12" s="13">
        <f t="shared" si="3"/>
        <v>150</v>
      </c>
      <c r="U12" s="13">
        <f t="shared" si="4"/>
        <v>510</v>
      </c>
    </row>
    <row r="13" spans="1:22" ht="14.45">
      <c r="A13" s="6" t="e">
        <f>CONCATENATE(C13,#REF!)</f>
        <v>#REF!</v>
      </c>
      <c r="B13" s="7" t="s">
        <v>5</v>
      </c>
      <c r="C13" s="51" t="s">
        <v>13</v>
      </c>
      <c r="D13" s="9" t="s">
        <v>135</v>
      </c>
      <c r="E13" s="6">
        <v>0</v>
      </c>
      <c r="F13" s="6">
        <v>0</v>
      </c>
      <c r="G13" s="6">
        <v>2</v>
      </c>
      <c r="H13" s="10">
        <f t="shared" si="1"/>
        <v>0</v>
      </c>
      <c r="I13" s="10">
        <f t="shared" si="2"/>
        <v>0</v>
      </c>
      <c r="J13" s="10">
        <v>300</v>
      </c>
      <c r="K13" s="10">
        <f t="shared" si="5"/>
        <v>300</v>
      </c>
      <c r="L13" s="6"/>
      <c r="M13" s="6"/>
      <c r="N13" s="6" t="s">
        <v>146</v>
      </c>
      <c r="O13" t="s">
        <v>139</v>
      </c>
      <c r="P13" t="s">
        <v>139</v>
      </c>
      <c r="Q13" t="s">
        <v>138</v>
      </c>
      <c r="R13" s="13">
        <f t="shared" si="3"/>
        <v>0</v>
      </c>
      <c r="S13" s="13">
        <f t="shared" si="3"/>
        <v>0</v>
      </c>
      <c r="T13" s="13">
        <f t="shared" si="3"/>
        <v>300</v>
      </c>
      <c r="U13" s="13">
        <f t="shared" si="4"/>
        <v>300</v>
      </c>
    </row>
    <row r="14" spans="1:22" ht="14.45">
      <c r="A14" s="6" t="e">
        <f>CONCATENATE(C14,#REF!)</f>
        <v>#REF!</v>
      </c>
      <c r="B14" s="7" t="s">
        <v>5</v>
      </c>
      <c r="C14" s="51" t="s">
        <v>20</v>
      </c>
      <c r="D14" s="9" t="s">
        <v>135</v>
      </c>
      <c r="E14" s="6">
        <v>0</v>
      </c>
      <c r="F14" s="6">
        <v>2</v>
      </c>
      <c r="G14" s="6">
        <v>1</v>
      </c>
      <c r="H14" s="10">
        <f t="shared" si="1"/>
        <v>0</v>
      </c>
      <c r="I14" s="10">
        <v>360</v>
      </c>
      <c r="J14" s="10">
        <v>150</v>
      </c>
      <c r="K14" s="10">
        <f>+H14+I14+J14</f>
        <v>510</v>
      </c>
      <c r="L14" s="6"/>
      <c r="M14" s="6" t="s">
        <v>147</v>
      </c>
      <c r="N14" s="6" t="s">
        <v>141</v>
      </c>
      <c r="O14" t="s">
        <v>139</v>
      </c>
      <c r="P14" t="s">
        <v>138</v>
      </c>
      <c r="Q14" t="s">
        <v>138</v>
      </c>
      <c r="R14" s="13">
        <f t="shared" si="3"/>
        <v>0</v>
      </c>
      <c r="S14" s="13">
        <f t="shared" si="3"/>
        <v>360</v>
      </c>
      <c r="T14" s="13">
        <f t="shared" si="3"/>
        <v>150</v>
      </c>
      <c r="U14" s="13">
        <f t="shared" si="4"/>
        <v>510</v>
      </c>
    </row>
    <row r="15" spans="1:22" ht="14.45">
      <c r="A15" s="6" t="e">
        <f>CONCATENATE(C15,#REF!)</f>
        <v>#REF!</v>
      </c>
      <c r="B15" s="7" t="s">
        <v>5</v>
      </c>
      <c r="C15" s="51" t="s">
        <v>17</v>
      </c>
      <c r="D15" s="9" t="s">
        <v>135</v>
      </c>
      <c r="E15" s="6">
        <v>0</v>
      </c>
      <c r="F15" s="6">
        <v>2</v>
      </c>
      <c r="G15" s="6">
        <v>0</v>
      </c>
      <c r="H15" s="10">
        <f t="shared" si="1"/>
        <v>0</v>
      </c>
      <c r="I15" s="10">
        <v>360</v>
      </c>
      <c r="J15" s="10"/>
      <c r="K15" s="10">
        <f>+H15+I15+J15</f>
        <v>360</v>
      </c>
      <c r="L15" s="6"/>
      <c r="M15" s="6" t="s">
        <v>148</v>
      </c>
      <c r="N15" s="6"/>
      <c r="O15" t="s">
        <v>139</v>
      </c>
      <c r="P15" t="s">
        <v>138</v>
      </c>
      <c r="Q15" t="s">
        <v>139</v>
      </c>
      <c r="R15" s="13">
        <f t="shared" si="3"/>
        <v>0</v>
      </c>
      <c r="S15" s="13">
        <f t="shared" si="3"/>
        <v>360</v>
      </c>
      <c r="T15" s="13">
        <f t="shared" si="3"/>
        <v>0</v>
      </c>
      <c r="U15" s="13">
        <f t="shared" si="4"/>
        <v>360</v>
      </c>
    </row>
    <row r="16" spans="1:22" ht="14.45">
      <c r="A16" s="6" t="e">
        <f>CONCATENATE(C16,#REF!)</f>
        <v>#REF!</v>
      </c>
      <c r="B16" s="7" t="s">
        <v>5</v>
      </c>
      <c r="C16" s="51" t="s">
        <v>22</v>
      </c>
      <c r="D16" s="9" t="s">
        <v>135</v>
      </c>
      <c r="E16" s="6"/>
      <c r="F16" s="6"/>
      <c r="G16" s="6">
        <v>1</v>
      </c>
      <c r="H16" s="10">
        <f t="shared" si="1"/>
        <v>0</v>
      </c>
      <c r="I16" s="10">
        <f t="shared" si="2"/>
        <v>0</v>
      </c>
      <c r="J16" s="10">
        <v>150</v>
      </c>
      <c r="K16" s="10">
        <f t="shared" si="5"/>
        <v>150</v>
      </c>
      <c r="L16" s="6"/>
      <c r="M16" s="6"/>
      <c r="N16" s="6" t="s">
        <v>145</v>
      </c>
      <c r="O16" t="s">
        <v>139</v>
      </c>
      <c r="P16" t="s">
        <v>139</v>
      </c>
      <c r="Q16" t="s">
        <v>138</v>
      </c>
      <c r="R16" s="13">
        <f t="shared" si="3"/>
        <v>0</v>
      </c>
      <c r="S16" s="13">
        <f t="shared" si="3"/>
        <v>0</v>
      </c>
      <c r="T16" s="13">
        <f t="shared" si="3"/>
        <v>150</v>
      </c>
      <c r="U16" s="13">
        <f t="shared" si="4"/>
        <v>150</v>
      </c>
    </row>
    <row r="17" spans="1:22" ht="14.45">
      <c r="A17" s="6"/>
      <c r="B17" s="7" t="s">
        <v>5</v>
      </c>
      <c r="C17" s="51" t="s">
        <v>149</v>
      </c>
      <c r="D17" s="9" t="s">
        <v>135</v>
      </c>
      <c r="E17" s="6">
        <v>2</v>
      </c>
      <c r="F17" s="6">
        <v>0</v>
      </c>
      <c r="G17" s="6">
        <v>1</v>
      </c>
      <c r="H17" s="10">
        <v>900</v>
      </c>
      <c r="I17" s="10">
        <f t="shared" si="2"/>
        <v>0</v>
      </c>
      <c r="J17" s="10">
        <v>150</v>
      </c>
      <c r="K17" s="10">
        <f t="shared" si="5"/>
        <v>1050</v>
      </c>
      <c r="L17" s="6" t="s">
        <v>150</v>
      </c>
      <c r="M17" s="6"/>
      <c r="N17" s="11" t="s">
        <v>141</v>
      </c>
      <c r="O17" t="s">
        <v>138</v>
      </c>
      <c r="P17" t="s">
        <v>139</v>
      </c>
      <c r="Q17" t="s">
        <v>138</v>
      </c>
      <c r="R17" s="13">
        <f t="shared" si="3"/>
        <v>900</v>
      </c>
      <c r="S17" s="13">
        <f t="shared" si="3"/>
        <v>0</v>
      </c>
      <c r="T17" s="13">
        <f t="shared" si="3"/>
        <v>150</v>
      </c>
      <c r="U17" s="13">
        <f t="shared" si="4"/>
        <v>1050</v>
      </c>
    </row>
    <row r="18" spans="1:22" ht="14.45">
      <c r="A18" s="6" t="e">
        <f>CONCATENATE(C18,#REF!)</f>
        <v>#REF!</v>
      </c>
      <c r="B18" s="7" t="s">
        <v>5</v>
      </c>
      <c r="C18" s="51" t="s">
        <v>24</v>
      </c>
      <c r="D18" s="9" t="s">
        <v>135</v>
      </c>
      <c r="E18" s="6">
        <v>0</v>
      </c>
      <c r="F18" s="6">
        <v>1</v>
      </c>
      <c r="G18" s="6">
        <v>1</v>
      </c>
      <c r="H18" s="10">
        <f t="shared" si="1"/>
        <v>0</v>
      </c>
      <c r="I18" s="10">
        <v>180</v>
      </c>
      <c r="J18" s="10">
        <v>150</v>
      </c>
      <c r="K18" s="10">
        <f t="shared" si="5"/>
        <v>330</v>
      </c>
      <c r="L18" s="6"/>
      <c r="M18" s="6" t="s">
        <v>144</v>
      </c>
      <c r="N18" s="6" t="s">
        <v>141</v>
      </c>
      <c r="O18" t="s">
        <v>139</v>
      </c>
      <c r="P18" t="s">
        <v>139</v>
      </c>
      <c r="Q18" t="s">
        <v>139</v>
      </c>
      <c r="R18" s="13">
        <f t="shared" si="3"/>
        <v>0</v>
      </c>
      <c r="S18" s="13">
        <f t="shared" si="3"/>
        <v>0</v>
      </c>
      <c r="T18" s="13">
        <f t="shared" si="3"/>
        <v>0</v>
      </c>
      <c r="U18" s="13">
        <f t="shared" si="4"/>
        <v>0</v>
      </c>
      <c r="V18" t="s">
        <v>151</v>
      </c>
    </row>
    <row r="19" spans="1:22" ht="14.45">
      <c r="A19" s="6" t="e">
        <f>CONCATENATE(C19,#REF!)</f>
        <v>#REF!</v>
      </c>
      <c r="B19" s="7" t="s">
        <v>5</v>
      </c>
      <c r="C19" s="51" t="s">
        <v>8</v>
      </c>
      <c r="D19" s="9" t="s">
        <v>135</v>
      </c>
      <c r="E19" s="6">
        <v>1</v>
      </c>
      <c r="F19" s="6">
        <v>2</v>
      </c>
      <c r="G19" s="6"/>
      <c r="H19" s="10">
        <v>180</v>
      </c>
      <c r="I19" s="10">
        <v>360</v>
      </c>
      <c r="J19" s="10">
        <v>0</v>
      </c>
      <c r="K19" s="10">
        <f t="shared" si="5"/>
        <v>540</v>
      </c>
      <c r="L19" s="6" t="s">
        <v>141</v>
      </c>
      <c r="M19" s="6" t="s">
        <v>148</v>
      </c>
      <c r="N19" s="6"/>
      <c r="O19" t="s">
        <v>138</v>
      </c>
      <c r="P19" t="s">
        <v>138</v>
      </c>
      <c r="Q19" t="s">
        <v>139</v>
      </c>
      <c r="R19" s="13">
        <f t="shared" si="3"/>
        <v>180</v>
      </c>
      <c r="S19" s="13">
        <f t="shared" si="3"/>
        <v>360</v>
      </c>
      <c r="T19" s="13">
        <f t="shared" si="3"/>
        <v>0</v>
      </c>
      <c r="U19" s="13">
        <f t="shared" si="4"/>
        <v>540</v>
      </c>
    </row>
    <row r="20" spans="1:22" ht="14.45">
      <c r="A20" s="6"/>
      <c r="B20" s="7" t="s">
        <v>5</v>
      </c>
      <c r="C20" s="51" t="s">
        <v>152</v>
      </c>
      <c r="D20" s="9" t="s">
        <v>135</v>
      </c>
      <c r="E20" s="6">
        <v>1</v>
      </c>
      <c r="F20" s="6"/>
      <c r="G20" s="6">
        <v>1</v>
      </c>
      <c r="H20" s="10">
        <v>180</v>
      </c>
      <c r="I20" s="10">
        <v>0</v>
      </c>
      <c r="J20" s="10">
        <v>150</v>
      </c>
      <c r="K20" s="10">
        <f t="shared" si="5"/>
        <v>330</v>
      </c>
      <c r="L20" s="6" t="s">
        <v>141</v>
      </c>
      <c r="M20" s="6"/>
      <c r="N20" s="6" t="s">
        <v>141</v>
      </c>
      <c r="O20" t="s">
        <v>138</v>
      </c>
      <c r="P20" t="s">
        <v>139</v>
      </c>
      <c r="Q20" t="s">
        <v>138</v>
      </c>
      <c r="R20" s="13">
        <f t="shared" si="3"/>
        <v>180</v>
      </c>
      <c r="S20" s="13">
        <f t="shared" si="3"/>
        <v>0</v>
      </c>
      <c r="T20" s="13">
        <f t="shared" si="3"/>
        <v>150</v>
      </c>
      <c r="U20" s="13">
        <f t="shared" si="4"/>
        <v>330</v>
      </c>
    </row>
    <row r="21" spans="1:22" ht="14.45">
      <c r="A21" s="6" t="e">
        <f>CONCATENATE(C21,#REF!)</f>
        <v>#REF!</v>
      </c>
      <c r="B21" s="7" t="s">
        <v>5</v>
      </c>
      <c r="C21" s="51" t="s">
        <v>12</v>
      </c>
      <c r="D21" s="9" t="s">
        <v>135</v>
      </c>
      <c r="E21" s="6"/>
      <c r="F21" s="6"/>
      <c r="G21" s="6">
        <v>1</v>
      </c>
      <c r="H21" s="10">
        <f t="shared" si="1"/>
        <v>0</v>
      </c>
      <c r="I21" s="10">
        <f t="shared" si="2"/>
        <v>0</v>
      </c>
      <c r="J21" s="10">
        <f>G21*150</f>
        <v>150</v>
      </c>
      <c r="K21" s="10">
        <f t="shared" si="5"/>
        <v>150</v>
      </c>
      <c r="L21" s="6"/>
      <c r="M21" s="6"/>
      <c r="N21" s="6" t="s">
        <v>145</v>
      </c>
      <c r="O21" t="s">
        <v>139</v>
      </c>
      <c r="P21" t="s">
        <v>139</v>
      </c>
      <c r="Q21" t="s">
        <v>139</v>
      </c>
      <c r="R21" s="13">
        <f t="shared" si="3"/>
        <v>0</v>
      </c>
      <c r="S21" s="13">
        <f t="shared" si="3"/>
        <v>0</v>
      </c>
      <c r="T21" s="13">
        <f t="shared" si="3"/>
        <v>0</v>
      </c>
      <c r="U21" s="13">
        <f t="shared" si="4"/>
        <v>0</v>
      </c>
      <c r="V21" t="s">
        <v>153</v>
      </c>
    </row>
    <row r="22" spans="1:22" ht="14.45">
      <c r="A22" s="6" t="e">
        <f>CONCATENATE(C22,#REF!)</f>
        <v>#REF!</v>
      </c>
      <c r="B22" s="7" t="s">
        <v>5</v>
      </c>
      <c r="C22" s="51" t="s">
        <v>10</v>
      </c>
      <c r="D22" s="9" t="s">
        <v>135</v>
      </c>
      <c r="E22" s="6">
        <v>1</v>
      </c>
      <c r="F22" s="6">
        <v>0</v>
      </c>
      <c r="G22" s="6">
        <v>0</v>
      </c>
      <c r="H22" s="10">
        <v>150</v>
      </c>
      <c r="I22" s="10">
        <f t="shared" si="2"/>
        <v>0</v>
      </c>
      <c r="J22" s="10">
        <f t="shared" ref="J22" si="6">G22*200</f>
        <v>0</v>
      </c>
      <c r="K22" s="10">
        <f t="shared" si="5"/>
        <v>150</v>
      </c>
      <c r="L22" s="6" t="s">
        <v>136</v>
      </c>
      <c r="M22" s="6"/>
      <c r="N22" s="6"/>
      <c r="O22" t="s">
        <v>138</v>
      </c>
      <c r="P22" t="s">
        <v>139</v>
      </c>
      <c r="Q22" t="s">
        <v>139</v>
      </c>
      <c r="R22" s="13">
        <f t="shared" si="3"/>
        <v>150</v>
      </c>
      <c r="S22" s="13">
        <f t="shared" si="3"/>
        <v>0</v>
      </c>
      <c r="T22" s="13">
        <f t="shared" si="3"/>
        <v>0</v>
      </c>
      <c r="U22" s="13">
        <f t="shared" si="4"/>
        <v>150</v>
      </c>
    </row>
    <row r="23" spans="1:22" ht="14.45">
      <c r="A23" s="6" t="e">
        <f>CONCATENATE(C23,#REF!)</f>
        <v>#REF!</v>
      </c>
      <c r="B23" s="7" t="s">
        <v>33</v>
      </c>
      <c r="C23" s="51" t="s">
        <v>154</v>
      </c>
      <c r="D23" s="9" t="s">
        <v>135</v>
      </c>
      <c r="E23" s="6">
        <v>0</v>
      </c>
      <c r="F23" s="6">
        <v>1</v>
      </c>
      <c r="G23" s="6">
        <v>1</v>
      </c>
      <c r="H23" s="10">
        <f t="shared" si="1"/>
        <v>0</v>
      </c>
      <c r="I23" s="10">
        <f t="shared" si="2"/>
        <v>120</v>
      </c>
      <c r="J23" s="10">
        <v>150</v>
      </c>
      <c r="K23" s="10">
        <f t="shared" si="5"/>
        <v>270</v>
      </c>
      <c r="L23" s="12"/>
      <c r="M23" s="12" t="s">
        <v>144</v>
      </c>
      <c r="N23" s="12" t="s">
        <v>141</v>
      </c>
      <c r="O23" t="s">
        <v>139</v>
      </c>
      <c r="P23" t="s">
        <v>138</v>
      </c>
      <c r="Q23" t="s">
        <v>139</v>
      </c>
      <c r="R23" s="13">
        <f t="shared" si="3"/>
        <v>0</v>
      </c>
      <c r="S23" s="13">
        <f t="shared" si="3"/>
        <v>120</v>
      </c>
      <c r="T23" s="13">
        <f t="shared" si="3"/>
        <v>0</v>
      </c>
      <c r="U23" s="13">
        <f t="shared" si="4"/>
        <v>120</v>
      </c>
      <c r="V23" t="s">
        <v>153</v>
      </c>
    </row>
    <row r="24" spans="1:22" ht="14.45">
      <c r="A24" s="6"/>
      <c r="B24" s="7" t="s">
        <v>33</v>
      </c>
      <c r="C24" s="51" t="s">
        <v>39</v>
      </c>
      <c r="D24" s="9" t="s">
        <v>135</v>
      </c>
      <c r="E24" s="6">
        <v>0</v>
      </c>
      <c r="F24" s="6">
        <v>1</v>
      </c>
      <c r="G24" s="6">
        <v>2</v>
      </c>
      <c r="H24" s="10">
        <v>0</v>
      </c>
      <c r="I24" s="10">
        <v>180</v>
      </c>
      <c r="J24" s="10">
        <v>300</v>
      </c>
      <c r="K24" s="10">
        <f t="shared" si="5"/>
        <v>480</v>
      </c>
      <c r="L24" s="12"/>
      <c r="M24" s="12" t="s">
        <v>144</v>
      </c>
      <c r="N24" s="12" t="s">
        <v>150</v>
      </c>
      <c r="O24" t="s">
        <v>138</v>
      </c>
      <c r="P24" t="s">
        <v>138</v>
      </c>
      <c r="Q24" t="s">
        <v>138</v>
      </c>
      <c r="R24" s="13">
        <f t="shared" si="3"/>
        <v>0</v>
      </c>
      <c r="S24" s="13">
        <f t="shared" si="3"/>
        <v>180</v>
      </c>
      <c r="T24" s="13">
        <f t="shared" si="3"/>
        <v>300</v>
      </c>
      <c r="U24" s="13">
        <f t="shared" si="4"/>
        <v>480</v>
      </c>
    </row>
    <row r="25" spans="1:22" ht="14.45">
      <c r="A25" s="6" t="e">
        <f>CONCATENATE(C25,#REF!)</f>
        <v>#REF!</v>
      </c>
      <c r="B25" s="7" t="s">
        <v>33</v>
      </c>
      <c r="C25" s="51" t="s">
        <v>34</v>
      </c>
      <c r="D25" s="9" t="s">
        <v>135</v>
      </c>
      <c r="E25" s="6"/>
      <c r="F25" s="6">
        <v>1</v>
      </c>
      <c r="G25" s="6">
        <v>1</v>
      </c>
      <c r="H25" s="10">
        <f t="shared" si="1"/>
        <v>0</v>
      </c>
      <c r="I25" s="10">
        <f t="shared" si="2"/>
        <v>120</v>
      </c>
      <c r="J25" s="10">
        <v>150</v>
      </c>
      <c r="K25" s="10">
        <f t="shared" si="5"/>
        <v>270</v>
      </c>
      <c r="L25" s="12"/>
      <c r="M25" s="12" t="s">
        <v>155</v>
      </c>
      <c r="N25" s="12" t="s">
        <v>141</v>
      </c>
      <c r="O25" t="s">
        <v>139</v>
      </c>
      <c r="P25" t="s">
        <v>138</v>
      </c>
      <c r="Q25" t="s">
        <v>138</v>
      </c>
      <c r="R25" s="13">
        <f t="shared" si="3"/>
        <v>0</v>
      </c>
      <c r="S25" s="13">
        <f t="shared" si="3"/>
        <v>120</v>
      </c>
      <c r="T25" s="13">
        <f t="shared" si="3"/>
        <v>150</v>
      </c>
      <c r="U25" s="13">
        <f t="shared" si="4"/>
        <v>270</v>
      </c>
    </row>
    <row r="26" spans="1:22" ht="14.45">
      <c r="A26" s="6" t="e">
        <f>CONCATENATE(C26,#REF!)</f>
        <v>#REF!</v>
      </c>
      <c r="B26" s="7" t="s">
        <v>33</v>
      </c>
      <c r="C26" s="51" t="s">
        <v>37</v>
      </c>
      <c r="D26" s="9" t="s">
        <v>135</v>
      </c>
      <c r="E26" s="6">
        <v>0</v>
      </c>
      <c r="F26" s="6">
        <v>2</v>
      </c>
      <c r="G26" s="6">
        <v>1</v>
      </c>
      <c r="H26" s="10">
        <f t="shared" si="1"/>
        <v>0</v>
      </c>
      <c r="I26" s="10">
        <f t="shared" si="2"/>
        <v>240</v>
      </c>
      <c r="J26" s="10">
        <v>150</v>
      </c>
      <c r="K26" s="10">
        <f t="shared" si="5"/>
        <v>390</v>
      </c>
      <c r="L26" s="12"/>
      <c r="M26" s="12" t="s">
        <v>143</v>
      </c>
      <c r="N26" s="12" t="s">
        <v>141</v>
      </c>
      <c r="O26" t="s">
        <v>139</v>
      </c>
      <c r="P26" t="s">
        <v>138</v>
      </c>
      <c r="Q26" t="s">
        <v>139</v>
      </c>
      <c r="R26" s="13">
        <f t="shared" si="3"/>
        <v>0</v>
      </c>
      <c r="S26" s="13">
        <f>+IF(P26="CUMPLE",I26,0)/2</f>
        <v>120</v>
      </c>
      <c r="T26" s="13">
        <f t="shared" si="3"/>
        <v>0</v>
      </c>
      <c r="U26" s="13">
        <f t="shared" si="4"/>
        <v>120</v>
      </c>
      <c r="V26" t="s">
        <v>156</v>
      </c>
    </row>
    <row r="27" spans="1:22" ht="15" customHeight="1">
      <c r="B27" s="7" t="s">
        <v>33</v>
      </c>
      <c r="C27" s="51" t="s">
        <v>45</v>
      </c>
      <c r="D27" s="9" t="s">
        <v>135</v>
      </c>
      <c r="E27" s="6">
        <v>1</v>
      </c>
      <c r="F27" s="6">
        <v>2</v>
      </c>
      <c r="G27" s="6">
        <v>1</v>
      </c>
      <c r="H27" s="10">
        <v>180</v>
      </c>
      <c r="I27" s="10">
        <f>F27*120</f>
        <v>240</v>
      </c>
      <c r="J27" s="10">
        <v>150</v>
      </c>
      <c r="K27" s="10">
        <f>H27+I27+J27</f>
        <v>570</v>
      </c>
      <c r="L27" s="12" t="s">
        <v>141</v>
      </c>
      <c r="M27" s="12" t="s">
        <v>143</v>
      </c>
      <c r="N27" s="12" t="s">
        <v>141</v>
      </c>
      <c r="O27" t="s">
        <v>138</v>
      </c>
      <c r="P27" t="s">
        <v>138</v>
      </c>
      <c r="Q27" t="s">
        <v>139</v>
      </c>
      <c r="R27" s="13">
        <f t="shared" si="3"/>
        <v>180</v>
      </c>
      <c r="S27" s="13">
        <f t="shared" si="3"/>
        <v>240</v>
      </c>
      <c r="T27" s="13">
        <f t="shared" si="3"/>
        <v>0</v>
      </c>
      <c r="U27" s="13">
        <f t="shared" si="4"/>
        <v>420</v>
      </c>
    </row>
    <row r="28" spans="1:22" s="13" customFormat="1" ht="15" customHeight="1">
      <c r="A28"/>
      <c r="B28" s="7" t="s">
        <v>33</v>
      </c>
      <c r="C28" s="51" t="s">
        <v>48</v>
      </c>
      <c r="D28" s="9" t="s">
        <v>135</v>
      </c>
      <c r="E28" s="6">
        <v>0</v>
      </c>
      <c r="F28" s="6">
        <v>1</v>
      </c>
      <c r="G28" s="6">
        <v>2</v>
      </c>
      <c r="H28" s="10">
        <f t="shared" si="1"/>
        <v>0</v>
      </c>
      <c r="I28" s="10">
        <v>180</v>
      </c>
      <c r="J28" s="10">
        <v>300</v>
      </c>
      <c r="K28" s="10">
        <f t="shared" si="5"/>
        <v>480</v>
      </c>
      <c r="L28" s="12"/>
      <c r="M28" s="12" t="s">
        <v>144</v>
      </c>
      <c r="N28" s="12" t="s">
        <v>150</v>
      </c>
      <c r="O28" t="s">
        <v>139</v>
      </c>
      <c r="P28" t="s">
        <v>138</v>
      </c>
      <c r="Q28" t="s">
        <v>139</v>
      </c>
      <c r="R28" s="13">
        <f t="shared" si="3"/>
        <v>0</v>
      </c>
      <c r="S28" s="13">
        <f t="shared" si="3"/>
        <v>180</v>
      </c>
      <c r="T28" s="13">
        <f t="shared" si="3"/>
        <v>0</v>
      </c>
      <c r="U28" s="13">
        <f t="shared" si="4"/>
        <v>180</v>
      </c>
      <c r="V28" s="13" t="s">
        <v>157</v>
      </c>
    </row>
    <row r="29" spans="1:22" s="13" customFormat="1" ht="15" customHeight="1">
      <c r="A29"/>
      <c r="B29" s="7" t="s">
        <v>33</v>
      </c>
      <c r="C29" s="51" t="s">
        <v>35</v>
      </c>
      <c r="D29" s="9" t="s">
        <v>135</v>
      </c>
      <c r="E29" s="6">
        <v>0</v>
      </c>
      <c r="F29" s="6">
        <v>1</v>
      </c>
      <c r="G29" s="6">
        <v>1</v>
      </c>
      <c r="H29" s="10">
        <f t="shared" si="1"/>
        <v>0</v>
      </c>
      <c r="I29" s="10">
        <f t="shared" si="2"/>
        <v>120</v>
      </c>
      <c r="J29" s="10">
        <v>150</v>
      </c>
      <c r="K29" s="10">
        <f t="shared" si="5"/>
        <v>270</v>
      </c>
      <c r="L29" s="12"/>
      <c r="M29" s="12" t="s">
        <v>144</v>
      </c>
      <c r="N29" s="12" t="s">
        <v>141</v>
      </c>
      <c r="O29" t="s">
        <v>139</v>
      </c>
      <c r="P29" t="s">
        <v>138</v>
      </c>
      <c r="Q29" t="s">
        <v>139</v>
      </c>
      <c r="R29" s="13">
        <f t="shared" si="3"/>
        <v>0</v>
      </c>
      <c r="S29" s="13">
        <f t="shared" si="3"/>
        <v>120</v>
      </c>
      <c r="T29" s="13">
        <f t="shared" si="3"/>
        <v>0</v>
      </c>
      <c r="U29" s="13">
        <f t="shared" si="4"/>
        <v>120</v>
      </c>
      <c r="V29" s="13" t="s">
        <v>157</v>
      </c>
    </row>
    <row r="30" spans="1:22" s="13" customFormat="1" ht="15" customHeight="1">
      <c r="A30"/>
      <c r="B30" s="7" t="s">
        <v>33</v>
      </c>
      <c r="C30" s="51" t="s">
        <v>158</v>
      </c>
      <c r="D30" s="9" t="s">
        <v>135</v>
      </c>
      <c r="E30" s="6">
        <v>0</v>
      </c>
      <c r="F30" s="6">
        <v>1</v>
      </c>
      <c r="G30" s="6">
        <v>2</v>
      </c>
      <c r="H30" s="10">
        <v>0</v>
      </c>
      <c r="I30" s="10">
        <v>180</v>
      </c>
      <c r="J30" s="10">
        <v>300</v>
      </c>
      <c r="K30" s="10">
        <f t="shared" si="5"/>
        <v>480</v>
      </c>
      <c r="L30" s="12"/>
      <c r="M30" s="12" t="s">
        <v>144</v>
      </c>
      <c r="N30" s="12" t="s">
        <v>150</v>
      </c>
      <c r="O30" t="s">
        <v>139</v>
      </c>
      <c r="P30" t="s">
        <v>138</v>
      </c>
      <c r="Q30" t="s">
        <v>138</v>
      </c>
      <c r="R30" s="13">
        <f t="shared" si="3"/>
        <v>0</v>
      </c>
      <c r="S30" s="13">
        <f t="shared" si="3"/>
        <v>180</v>
      </c>
      <c r="T30" s="13">
        <f>+IF(Q30="CUMPLE",J30,0)/2</f>
        <v>150</v>
      </c>
      <c r="U30" s="13">
        <f t="shared" si="4"/>
        <v>330</v>
      </c>
      <c r="V30" s="13" t="s">
        <v>159</v>
      </c>
    </row>
    <row r="31" spans="1:22" s="13" customFormat="1" ht="15" customHeight="1">
      <c r="A31"/>
      <c r="B31" s="7" t="s">
        <v>33</v>
      </c>
      <c r="C31" s="51" t="s">
        <v>46</v>
      </c>
      <c r="D31" s="9" t="s">
        <v>135</v>
      </c>
      <c r="E31" s="6">
        <v>0</v>
      </c>
      <c r="F31" s="6">
        <v>2</v>
      </c>
      <c r="G31" s="6">
        <v>1</v>
      </c>
      <c r="H31" s="10">
        <f>E31*240</f>
        <v>0</v>
      </c>
      <c r="I31" s="10">
        <v>240</v>
      </c>
      <c r="J31" s="10">
        <f t="shared" ref="J31" si="7">G31*180</f>
        <v>180</v>
      </c>
      <c r="K31" s="10">
        <f t="shared" si="5"/>
        <v>420</v>
      </c>
      <c r="L31" s="12"/>
      <c r="M31" s="12" t="s">
        <v>150</v>
      </c>
      <c r="N31" s="12" t="s">
        <v>141</v>
      </c>
      <c r="O31" t="s">
        <v>139</v>
      </c>
      <c r="P31" t="s">
        <v>138</v>
      </c>
      <c r="Q31" t="s">
        <v>139</v>
      </c>
      <c r="R31" s="13">
        <f t="shared" si="3"/>
        <v>0</v>
      </c>
      <c r="S31" s="13">
        <f t="shared" si="3"/>
        <v>240</v>
      </c>
      <c r="T31" s="13">
        <f t="shared" si="3"/>
        <v>0</v>
      </c>
      <c r="U31" s="13">
        <f t="shared" si="4"/>
        <v>240</v>
      </c>
      <c r="V31" s="13" t="s">
        <v>160</v>
      </c>
    </row>
    <row r="32" spans="1:22" s="13" customFormat="1" ht="15" customHeight="1">
      <c r="A32"/>
      <c r="B32" s="7" t="s">
        <v>33</v>
      </c>
      <c r="C32" s="51" t="s">
        <v>119</v>
      </c>
      <c r="D32" s="9" t="s">
        <v>135</v>
      </c>
      <c r="E32" s="6">
        <v>0</v>
      </c>
      <c r="F32" s="6">
        <v>0</v>
      </c>
      <c r="G32" s="6">
        <v>1</v>
      </c>
      <c r="H32" s="10">
        <f>E32*240</f>
        <v>0</v>
      </c>
      <c r="I32" s="10">
        <v>0</v>
      </c>
      <c r="J32" s="10">
        <v>150</v>
      </c>
      <c r="K32" s="10">
        <f t="shared" si="5"/>
        <v>150</v>
      </c>
      <c r="L32" s="12"/>
      <c r="M32" s="12"/>
      <c r="N32" s="12" t="s">
        <v>141</v>
      </c>
      <c r="O32" t="s">
        <v>139</v>
      </c>
      <c r="P32" t="s">
        <v>139</v>
      </c>
      <c r="Q32" t="s">
        <v>138</v>
      </c>
      <c r="R32" s="13">
        <f t="shared" si="3"/>
        <v>0</v>
      </c>
      <c r="S32" s="13">
        <f t="shared" si="3"/>
        <v>0</v>
      </c>
      <c r="T32" s="13">
        <f t="shared" si="3"/>
        <v>150</v>
      </c>
      <c r="U32" s="13">
        <f t="shared" si="4"/>
        <v>150</v>
      </c>
    </row>
    <row r="33" spans="1:22" s="13" customFormat="1" ht="15" customHeight="1">
      <c r="A33"/>
      <c r="B33" s="7" t="s">
        <v>33</v>
      </c>
      <c r="C33" s="51" t="s">
        <v>42</v>
      </c>
      <c r="D33" s="9" t="s">
        <v>135</v>
      </c>
      <c r="E33" s="6">
        <v>0</v>
      </c>
      <c r="F33" s="6">
        <v>1</v>
      </c>
      <c r="G33" s="6">
        <v>1</v>
      </c>
      <c r="H33" s="10">
        <f t="shared" ref="H33:H35" si="8">E33*240</f>
        <v>0</v>
      </c>
      <c r="I33" s="10">
        <f t="shared" ref="I33:I35" si="9">F33*120</f>
        <v>120</v>
      </c>
      <c r="J33" s="10">
        <v>150</v>
      </c>
      <c r="K33" s="10">
        <f t="shared" si="5"/>
        <v>270</v>
      </c>
      <c r="L33" s="12"/>
      <c r="M33" s="12" t="s">
        <v>144</v>
      </c>
      <c r="N33" s="12" t="s">
        <v>144</v>
      </c>
      <c r="O33" t="s">
        <v>139</v>
      </c>
      <c r="P33" t="s">
        <v>139</v>
      </c>
      <c r="Q33" t="s">
        <v>139</v>
      </c>
      <c r="R33" s="13">
        <f t="shared" si="3"/>
        <v>0</v>
      </c>
      <c r="S33" s="13">
        <f t="shared" si="3"/>
        <v>0</v>
      </c>
      <c r="T33" s="13">
        <f t="shared" si="3"/>
        <v>0</v>
      </c>
      <c r="U33" s="13">
        <f t="shared" si="4"/>
        <v>0</v>
      </c>
      <c r="V33" s="13" t="s">
        <v>161</v>
      </c>
    </row>
    <row r="34" spans="1:22" s="13" customFormat="1" ht="15" customHeight="1">
      <c r="A34"/>
      <c r="B34" s="7" t="s">
        <v>33</v>
      </c>
      <c r="C34" s="51" t="s">
        <v>38</v>
      </c>
      <c r="D34" s="9" t="s">
        <v>135</v>
      </c>
      <c r="E34" s="6">
        <v>0</v>
      </c>
      <c r="F34" s="6">
        <v>1</v>
      </c>
      <c r="G34" s="6">
        <v>1</v>
      </c>
      <c r="H34" s="10">
        <f t="shared" si="8"/>
        <v>0</v>
      </c>
      <c r="I34" s="10">
        <f t="shared" si="9"/>
        <v>120</v>
      </c>
      <c r="J34" s="10">
        <v>150</v>
      </c>
      <c r="K34" s="10">
        <f t="shared" si="5"/>
        <v>270</v>
      </c>
      <c r="L34" s="12"/>
      <c r="M34" s="12" t="s">
        <v>144</v>
      </c>
      <c r="N34" s="12" t="s">
        <v>141</v>
      </c>
      <c r="O34" t="s">
        <v>139</v>
      </c>
      <c r="P34" t="s">
        <v>138</v>
      </c>
      <c r="Q34" t="s">
        <v>139</v>
      </c>
      <c r="R34" s="13">
        <f t="shared" si="3"/>
        <v>0</v>
      </c>
      <c r="S34" s="13">
        <f t="shared" si="3"/>
        <v>120</v>
      </c>
      <c r="T34" s="13">
        <f t="shared" si="3"/>
        <v>0</v>
      </c>
      <c r="U34" s="13">
        <f t="shared" si="4"/>
        <v>120</v>
      </c>
      <c r="V34" s="13" t="s">
        <v>162</v>
      </c>
    </row>
    <row r="35" spans="1:22" s="13" customFormat="1" ht="15" customHeight="1">
      <c r="A35"/>
      <c r="B35" s="7" t="s">
        <v>33</v>
      </c>
      <c r="C35" s="51" t="s">
        <v>44</v>
      </c>
      <c r="D35" s="9" t="s">
        <v>135</v>
      </c>
      <c r="E35" s="6"/>
      <c r="F35" s="6">
        <v>1</v>
      </c>
      <c r="G35" s="6">
        <v>1</v>
      </c>
      <c r="H35" s="10">
        <f t="shared" si="8"/>
        <v>0</v>
      </c>
      <c r="I35" s="10">
        <f t="shared" si="9"/>
        <v>120</v>
      </c>
      <c r="J35" s="10">
        <v>150</v>
      </c>
      <c r="K35" s="10">
        <f t="shared" si="5"/>
        <v>270</v>
      </c>
      <c r="L35" s="12"/>
      <c r="M35" s="12" t="s">
        <v>144</v>
      </c>
      <c r="N35" s="12" t="s">
        <v>141</v>
      </c>
      <c r="O35" t="s">
        <v>139</v>
      </c>
      <c r="P35" t="s">
        <v>138</v>
      </c>
      <c r="Q35" t="s">
        <v>139</v>
      </c>
      <c r="R35" s="13">
        <f t="shared" si="3"/>
        <v>0</v>
      </c>
      <c r="S35" s="13">
        <f t="shared" si="3"/>
        <v>120</v>
      </c>
      <c r="T35" s="13">
        <f t="shared" si="3"/>
        <v>0</v>
      </c>
      <c r="U35" s="13">
        <f t="shared" si="4"/>
        <v>120</v>
      </c>
      <c r="V35" s="13" t="s">
        <v>162</v>
      </c>
    </row>
    <row r="36" spans="1:22" s="13" customFormat="1" ht="15" customHeight="1">
      <c r="A36"/>
      <c r="B36" s="7" t="s">
        <v>33</v>
      </c>
      <c r="C36" s="51" t="s">
        <v>43</v>
      </c>
      <c r="D36" s="9" t="s">
        <v>135</v>
      </c>
      <c r="E36" s="6">
        <v>0</v>
      </c>
      <c r="F36" s="6">
        <v>1</v>
      </c>
      <c r="G36" s="6">
        <v>1</v>
      </c>
      <c r="H36" s="10">
        <f>E36*240</f>
        <v>0</v>
      </c>
      <c r="I36" s="10">
        <f>F36*120</f>
        <v>120</v>
      </c>
      <c r="J36" s="10">
        <v>150</v>
      </c>
      <c r="K36" s="10">
        <f>+H36+I36+J36</f>
        <v>270</v>
      </c>
      <c r="L36" s="12"/>
      <c r="M36" s="12" t="s">
        <v>144</v>
      </c>
      <c r="N36" s="12" t="s">
        <v>141</v>
      </c>
      <c r="O36" t="s">
        <v>139</v>
      </c>
      <c r="P36" t="s">
        <v>138</v>
      </c>
      <c r="Q36" t="s">
        <v>139</v>
      </c>
      <c r="R36" s="13">
        <f t="shared" si="3"/>
        <v>0</v>
      </c>
      <c r="S36" s="13">
        <f t="shared" si="3"/>
        <v>120</v>
      </c>
      <c r="T36" s="13">
        <f t="shared" si="3"/>
        <v>0</v>
      </c>
      <c r="U36" s="13">
        <f t="shared" si="4"/>
        <v>120</v>
      </c>
      <c r="V36" s="13" t="s">
        <v>162</v>
      </c>
    </row>
    <row r="37" spans="1:22" s="13" customFormat="1" ht="15" customHeight="1">
      <c r="A37"/>
      <c r="B37" s="7" t="s">
        <v>33</v>
      </c>
      <c r="C37" s="51" t="s">
        <v>40</v>
      </c>
      <c r="D37" s="9" t="s">
        <v>135</v>
      </c>
      <c r="E37" s="6">
        <v>1</v>
      </c>
      <c r="F37" s="6">
        <v>1</v>
      </c>
      <c r="G37" s="6">
        <v>0</v>
      </c>
      <c r="H37" s="10">
        <v>180</v>
      </c>
      <c r="I37" s="10">
        <v>180</v>
      </c>
      <c r="J37" s="10">
        <f>G37*180</f>
        <v>0</v>
      </c>
      <c r="K37" s="10">
        <f>+H37+I37+J37</f>
        <v>360</v>
      </c>
      <c r="L37" s="17" t="s">
        <v>141</v>
      </c>
      <c r="M37" s="15" t="s">
        <v>144</v>
      </c>
      <c r="N37" s="12"/>
      <c r="O37" t="s">
        <v>138</v>
      </c>
      <c r="P37" t="s">
        <v>138</v>
      </c>
      <c r="Q37" t="s">
        <v>139</v>
      </c>
      <c r="R37" s="13">
        <f t="shared" si="3"/>
        <v>180</v>
      </c>
      <c r="S37" s="13">
        <f t="shared" si="3"/>
        <v>180</v>
      </c>
      <c r="T37" s="13">
        <f t="shared" si="3"/>
        <v>0</v>
      </c>
      <c r="U37" s="13">
        <f t="shared" si="4"/>
        <v>360</v>
      </c>
      <c r="V37" s="13" t="s">
        <v>162</v>
      </c>
    </row>
    <row r="38" spans="1:22" s="13" customFormat="1" ht="14.45">
      <c r="A38"/>
      <c r="B38" s="7" t="s">
        <v>49</v>
      </c>
      <c r="C38" s="51" t="s">
        <v>70</v>
      </c>
      <c r="D38" s="9" t="s">
        <v>163</v>
      </c>
      <c r="E38" s="6">
        <v>1</v>
      </c>
      <c r="F38" s="6">
        <v>0</v>
      </c>
      <c r="G38" s="6">
        <v>0</v>
      </c>
      <c r="H38" s="10">
        <v>120</v>
      </c>
      <c r="I38" s="10">
        <v>0</v>
      </c>
      <c r="J38" s="14">
        <v>0</v>
      </c>
      <c r="K38" s="10">
        <f t="shared" si="5"/>
        <v>120</v>
      </c>
      <c r="L38" s="13" t="s">
        <v>164</v>
      </c>
      <c r="M38" s="53"/>
      <c r="N38" s="12"/>
      <c r="O38" t="s">
        <v>138</v>
      </c>
      <c r="P38" t="s">
        <v>139</v>
      </c>
      <c r="Q38" t="s">
        <v>139</v>
      </c>
      <c r="R38" s="13">
        <f t="shared" si="3"/>
        <v>120</v>
      </c>
      <c r="S38" s="13">
        <f t="shared" si="3"/>
        <v>0</v>
      </c>
      <c r="T38" s="13">
        <f t="shared" si="3"/>
        <v>0</v>
      </c>
      <c r="U38" s="13">
        <f t="shared" si="4"/>
        <v>120</v>
      </c>
    </row>
    <row r="39" spans="1:22" s="13" customFormat="1" ht="14.45">
      <c r="A39"/>
      <c r="B39" s="7" t="s">
        <v>49</v>
      </c>
      <c r="C39" s="51" t="s">
        <v>50</v>
      </c>
      <c r="D39" s="9" t="s">
        <v>135</v>
      </c>
      <c r="E39" s="6">
        <v>1</v>
      </c>
      <c r="F39" s="6">
        <v>1</v>
      </c>
      <c r="G39" s="6">
        <v>1</v>
      </c>
      <c r="H39" s="10">
        <f>+E39*240</f>
        <v>240</v>
      </c>
      <c r="I39" s="10">
        <v>60</v>
      </c>
      <c r="J39" s="14">
        <f>+G39*180</f>
        <v>180</v>
      </c>
      <c r="K39" s="10">
        <f t="shared" si="5"/>
        <v>480</v>
      </c>
      <c r="L39" s="15" t="s">
        <v>141</v>
      </c>
      <c r="M39" s="16" t="s">
        <v>137</v>
      </c>
      <c r="N39" s="12" t="s">
        <v>165</v>
      </c>
      <c r="O39" t="s">
        <v>138</v>
      </c>
      <c r="P39" t="s">
        <v>138</v>
      </c>
      <c r="Q39" t="s">
        <v>138</v>
      </c>
      <c r="R39" s="13">
        <f t="shared" si="3"/>
        <v>240</v>
      </c>
      <c r="S39" s="13">
        <f t="shared" si="3"/>
        <v>60</v>
      </c>
      <c r="T39" s="13">
        <f t="shared" si="3"/>
        <v>180</v>
      </c>
      <c r="U39" s="13">
        <f t="shared" si="4"/>
        <v>480</v>
      </c>
    </row>
    <row r="40" spans="1:22" s="13" customFormat="1" ht="14.45">
      <c r="A40"/>
      <c r="B40" s="7" t="s">
        <v>49</v>
      </c>
      <c r="C40" s="51" t="s">
        <v>60</v>
      </c>
      <c r="D40" s="9" t="s">
        <v>135</v>
      </c>
      <c r="E40" s="6">
        <v>1</v>
      </c>
      <c r="F40" s="6">
        <v>0</v>
      </c>
      <c r="G40" s="6">
        <v>1</v>
      </c>
      <c r="H40" s="10">
        <v>150</v>
      </c>
      <c r="I40" s="10">
        <v>0</v>
      </c>
      <c r="J40" s="14">
        <v>120</v>
      </c>
      <c r="K40" s="10">
        <f t="shared" si="5"/>
        <v>270</v>
      </c>
      <c r="L40" s="15" t="s">
        <v>144</v>
      </c>
      <c r="M40" s="16"/>
      <c r="N40" s="12" t="s">
        <v>141</v>
      </c>
      <c r="O40" t="s">
        <v>138</v>
      </c>
      <c r="P40" t="s">
        <v>139</v>
      </c>
      <c r="Q40" t="s">
        <v>138</v>
      </c>
      <c r="R40" s="13">
        <f t="shared" si="3"/>
        <v>150</v>
      </c>
      <c r="S40" s="13">
        <f t="shared" si="3"/>
        <v>0</v>
      </c>
      <c r="T40" s="13">
        <f t="shared" si="3"/>
        <v>120</v>
      </c>
      <c r="U40" s="13">
        <f t="shared" si="4"/>
        <v>270</v>
      </c>
    </row>
    <row r="41" spans="1:22" s="13" customFormat="1" ht="15" customHeight="1">
      <c r="A41"/>
      <c r="B41" s="7" t="s">
        <v>49</v>
      </c>
      <c r="C41" s="51" t="s">
        <v>64</v>
      </c>
      <c r="D41" s="9" t="s">
        <v>163</v>
      </c>
      <c r="E41" s="6">
        <v>0</v>
      </c>
      <c r="F41" s="6">
        <v>0</v>
      </c>
      <c r="G41" s="6">
        <v>1</v>
      </c>
      <c r="H41" s="10">
        <f>E41*120</f>
        <v>0</v>
      </c>
      <c r="I41" s="10">
        <f>+F41*120</f>
        <v>0</v>
      </c>
      <c r="J41" s="10">
        <v>120</v>
      </c>
      <c r="K41" s="10">
        <f t="shared" si="5"/>
        <v>120</v>
      </c>
      <c r="L41" s="10"/>
      <c r="M41" s="10"/>
      <c r="N41" s="53" t="s">
        <v>164</v>
      </c>
      <c r="O41" t="s">
        <v>139</v>
      </c>
      <c r="P41" t="s">
        <v>139</v>
      </c>
      <c r="Q41" t="s">
        <v>138</v>
      </c>
      <c r="R41" s="13">
        <f t="shared" si="3"/>
        <v>0</v>
      </c>
      <c r="S41" s="13">
        <f t="shared" si="3"/>
        <v>0</v>
      </c>
      <c r="T41" s="13">
        <f t="shared" si="3"/>
        <v>120</v>
      </c>
      <c r="U41" s="13">
        <f t="shared" si="4"/>
        <v>120</v>
      </c>
    </row>
    <row r="42" spans="1:22" s="13" customFormat="1" ht="15" customHeight="1">
      <c r="A42"/>
      <c r="B42" s="7" t="s">
        <v>109</v>
      </c>
      <c r="C42" s="51" t="s">
        <v>32</v>
      </c>
      <c r="D42" s="9" t="s">
        <v>135</v>
      </c>
      <c r="E42" s="6">
        <v>1</v>
      </c>
      <c r="F42" s="6">
        <v>3</v>
      </c>
      <c r="G42" s="6">
        <v>2</v>
      </c>
      <c r="H42" s="10">
        <v>60</v>
      </c>
      <c r="I42" s="10">
        <v>225</v>
      </c>
      <c r="J42" s="10">
        <v>150</v>
      </c>
      <c r="K42" s="10">
        <f t="shared" si="5"/>
        <v>435</v>
      </c>
      <c r="L42" s="6" t="s">
        <v>141</v>
      </c>
      <c r="M42" s="6" t="s">
        <v>166</v>
      </c>
      <c r="N42" s="6" t="s">
        <v>141</v>
      </c>
      <c r="O42" t="s">
        <v>138</v>
      </c>
      <c r="P42" t="s">
        <v>138</v>
      </c>
      <c r="Q42" t="s">
        <v>138</v>
      </c>
      <c r="R42" s="13">
        <f t="shared" si="3"/>
        <v>60</v>
      </c>
      <c r="S42" s="13">
        <f t="shared" si="3"/>
        <v>225</v>
      </c>
      <c r="T42" s="13">
        <f>+IF(Q42="CUMPLE",J42,0)/2</f>
        <v>75</v>
      </c>
      <c r="U42" s="13">
        <f t="shared" si="4"/>
        <v>360</v>
      </c>
      <c r="V42" s="13" t="s">
        <v>167</v>
      </c>
    </row>
    <row r="43" spans="1:22" s="13" customFormat="1" ht="15" customHeight="1">
      <c r="A43"/>
      <c r="B43" s="7" t="s">
        <v>109</v>
      </c>
      <c r="C43" s="55" t="s">
        <v>168</v>
      </c>
      <c r="D43" s="9" t="s">
        <v>135</v>
      </c>
      <c r="E43" s="6"/>
      <c r="F43" s="6">
        <v>3</v>
      </c>
      <c r="G43" s="6">
        <v>1</v>
      </c>
      <c r="H43" s="10">
        <v>0</v>
      </c>
      <c r="I43" s="10">
        <v>180</v>
      </c>
      <c r="J43" s="10">
        <v>150</v>
      </c>
      <c r="K43" s="10">
        <f t="shared" si="5"/>
        <v>330</v>
      </c>
      <c r="L43" s="6"/>
      <c r="M43" s="6" t="s">
        <v>169</v>
      </c>
      <c r="N43" s="6" t="s">
        <v>144</v>
      </c>
      <c r="O43" t="s">
        <v>139</v>
      </c>
      <c r="P43" t="s">
        <v>138</v>
      </c>
      <c r="Q43" t="s">
        <v>138</v>
      </c>
      <c r="R43" s="13">
        <f t="shared" si="3"/>
        <v>0</v>
      </c>
      <c r="S43" s="13">
        <v>120</v>
      </c>
      <c r="T43" s="13">
        <f t="shared" si="3"/>
        <v>150</v>
      </c>
      <c r="U43" s="13">
        <f t="shared" si="4"/>
        <v>270</v>
      </c>
      <c r="V43" s="13" t="s">
        <v>170</v>
      </c>
    </row>
    <row r="44" spans="1:22" s="13" customFormat="1" ht="15" customHeight="1">
      <c r="A44"/>
      <c r="B44" s="7" t="s">
        <v>109</v>
      </c>
      <c r="C44" s="55" t="s">
        <v>171</v>
      </c>
      <c r="D44" s="9" t="s">
        <v>135</v>
      </c>
      <c r="E44" s="6">
        <v>1</v>
      </c>
      <c r="F44" s="6">
        <v>3</v>
      </c>
      <c r="G44" s="6">
        <v>1</v>
      </c>
      <c r="H44" s="10">
        <v>60</v>
      </c>
      <c r="I44" s="10">
        <v>225</v>
      </c>
      <c r="J44" s="10">
        <v>120</v>
      </c>
      <c r="K44" s="10">
        <f t="shared" si="5"/>
        <v>405</v>
      </c>
      <c r="L44" s="6" t="s">
        <v>141</v>
      </c>
      <c r="M44" s="6" t="s">
        <v>169</v>
      </c>
      <c r="N44" s="6" t="s">
        <v>141</v>
      </c>
      <c r="O44" t="s">
        <v>138</v>
      </c>
      <c r="P44" t="s">
        <v>138</v>
      </c>
      <c r="Q44" t="s">
        <v>138</v>
      </c>
      <c r="R44" s="13">
        <f t="shared" si="3"/>
        <v>60</v>
      </c>
      <c r="S44" s="13">
        <f t="shared" si="3"/>
        <v>225</v>
      </c>
      <c r="T44" s="13">
        <f t="shared" si="3"/>
        <v>120</v>
      </c>
      <c r="U44" s="13">
        <f t="shared" si="4"/>
        <v>405</v>
      </c>
    </row>
    <row r="45" spans="1:22" s="13" customFormat="1" ht="15" customHeight="1">
      <c r="A45"/>
      <c r="B45" s="7" t="s">
        <v>109</v>
      </c>
      <c r="C45" s="51" t="s">
        <v>27</v>
      </c>
      <c r="D45" s="9" t="s">
        <v>135</v>
      </c>
      <c r="E45" s="6"/>
      <c r="F45" s="6">
        <v>3</v>
      </c>
      <c r="G45" s="6">
        <v>1</v>
      </c>
      <c r="H45" s="10">
        <v>0</v>
      </c>
      <c r="I45" s="10">
        <v>450</v>
      </c>
      <c r="J45" s="10">
        <v>90</v>
      </c>
      <c r="K45" s="10">
        <f t="shared" si="5"/>
        <v>540</v>
      </c>
      <c r="L45" s="6"/>
      <c r="M45" s="6" t="s">
        <v>169</v>
      </c>
      <c r="N45" s="6" t="s">
        <v>141</v>
      </c>
      <c r="O45" t="s">
        <v>139</v>
      </c>
      <c r="P45" t="s">
        <v>138</v>
      </c>
      <c r="Q45" t="s">
        <v>139</v>
      </c>
      <c r="R45" s="13">
        <f t="shared" si="3"/>
        <v>0</v>
      </c>
      <c r="S45" s="13">
        <f t="shared" si="3"/>
        <v>450</v>
      </c>
      <c r="T45" s="13">
        <f t="shared" si="3"/>
        <v>0</v>
      </c>
      <c r="U45" s="13">
        <f t="shared" si="4"/>
        <v>450</v>
      </c>
      <c r="V45" s="13" t="s">
        <v>172</v>
      </c>
    </row>
    <row r="46" spans="1:22" ht="15" customHeight="1">
      <c r="B46" s="90" t="s">
        <v>4</v>
      </c>
      <c r="C46" s="90"/>
      <c r="D46" s="90"/>
      <c r="E46" s="18">
        <f t="shared" ref="E46:J46" si="10">SUM(E3:E45)</f>
        <v>19</v>
      </c>
      <c r="F46" s="18">
        <f t="shared" si="10"/>
        <v>41</v>
      </c>
      <c r="G46" s="18">
        <f t="shared" si="10"/>
        <v>40</v>
      </c>
      <c r="H46" s="10">
        <f t="shared" si="10"/>
        <v>4740</v>
      </c>
      <c r="I46" s="10">
        <f t="shared" si="10"/>
        <v>5190</v>
      </c>
      <c r="J46" s="10">
        <f t="shared" si="10"/>
        <v>5700</v>
      </c>
      <c r="K46" s="19">
        <f>+H46+I46+J46</f>
        <v>15630</v>
      </c>
      <c r="L46" s="12"/>
      <c r="M46" s="12"/>
      <c r="N46" s="12"/>
      <c r="O46" s="6"/>
      <c r="P46" s="6"/>
      <c r="Q46" s="6"/>
      <c r="R46" s="6"/>
      <c r="S46" s="6"/>
      <c r="T46" s="6"/>
      <c r="U46" s="10">
        <f>+SUBTOTAL(9,U3:U45)</f>
        <v>12705</v>
      </c>
    </row>
  </sheetData>
  <autoFilter ref="B2:N47" xr:uid="{FAD98CF0-23FA-4EE6-87A5-C31235DC0DCA}"/>
  <mergeCells count="5">
    <mergeCell ref="E1:G1"/>
    <mergeCell ref="H1:J1"/>
    <mergeCell ref="L1:N1"/>
    <mergeCell ref="O1:Q1"/>
    <mergeCell ref="B46:D46"/>
  </mergeCells>
  <conditionalFormatting sqref="C1:C1048576">
    <cfRule type="duplicateValues" dxfId="1" priority="1"/>
  </conditionalFormatting>
  <conditionalFormatting sqref="C61:C81">
    <cfRule type="duplicateValues" dxfId="0" priority="2"/>
  </conditionalFormatting>
  <dataValidations count="1">
    <dataValidation type="list" allowBlank="1" showInputMessage="1" showErrorMessage="1" sqref="D9:D22" xr:uid="{9D0D51CA-BF79-4B6E-8047-C2795D0261C9}">
      <formula1>"ATT,MH"</formula1>
    </dataValidation>
  </dataValidations>
  <pageMargins left="0.7" right="0.7" top="0.75" bottom="0.75" header="0.3" footer="0.3"/>
  <pageSetup orientation="portrait" horizontalDpi="4294967293" verticalDpi="429496729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5798-07EE-4E1E-B3E3-C3A30603CF2A}">
  <dimension ref="A3:F73"/>
  <sheetViews>
    <sheetView workbookViewId="0">
      <selection activeCell="B7" sqref="B7"/>
    </sheetView>
  </sheetViews>
  <sheetFormatPr defaultColWidth="11.42578125" defaultRowHeight="14.45"/>
  <cols>
    <col min="1" max="1" width="19.140625" customWidth="1"/>
    <col min="2" max="2" width="63.140625" bestFit="1" customWidth="1"/>
    <col min="3" max="3" width="16.28515625" bestFit="1" customWidth="1"/>
    <col min="4" max="4" width="16.5703125" bestFit="1" customWidth="1"/>
  </cols>
  <sheetData>
    <row r="3" spans="1:6">
      <c r="A3" s="54" t="s">
        <v>0</v>
      </c>
      <c r="B3" s="54" t="s">
        <v>1</v>
      </c>
      <c r="C3" t="s">
        <v>173</v>
      </c>
      <c r="D3" t="s">
        <v>174</v>
      </c>
    </row>
    <row r="4" spans="1:6">
      <c r="A4" t="s">
        <v>5</v>
      </c>
      <c r="B4" t="s">
        <v>6</v>
      </c>
      <c r="C4" s="49">
        <v>21660</v>
      </c>
      <c r="D4" s="49">
        <v>11331.272199999999</v>
      </c>
      <c r="E4" s="48">
        <f>+D4/C4</f>
        <v>0.52314276084949207</v>
      </c>
      <c r="F4" t="str">
        <f>IF(E4&gt;=99.99%,"GANA","NO GANA")</f>
        <v>NO GANA</v>
      </c>
    </row>
    <row r="5" spans="1:6">
      <c r="A5" t="s">
        <v>5</v>
      </c>
      <c r="B5" t="s">
        <v>7</v>
      </c>
      <c r="C5" s="49">
        <v>76440</v>
      </c>
      <c r="D5" s="49">
        <v>76579.693199999994</v>
      </c>
      <c r="E5" s="48">
        <f t="shared" ref="E5:E68" si="0">+D5/C5</f>
        <v>1.0018274882260596</v>
      </c>
      <c r="F5" t="str">
        <f t="shared" ref="F5:F68" si="1">IF(E5&gt;=99.99%,"GANA","NO GANA")</f>
        <v>GANA</v>
      </c>
    </row>
    <row r="6" spans="1:6">
      <c r="A6" t="s">
        <v>5</v>
      </c>
      <c r="B6" t="s">
        <v>8</v>
      </c>
      <c r="C6" s="49">
        <v>26271</v>
      </c>
      <c r="D6" s="49">
        <v>26576.873800000001</v>
      </c>
      <c r="E6" s="48">
        <f t="shared" si="0"/>
        <v>1.0116430208214382</v>
      </c>
      <c r="F6" t="str">
        <f t="shared" si="1"/>
        <v>GANA</v>
      </c>
    </row>
    <row r="7" spans="1:6">
      <c r="A7" t="s">
        <v>5</v>
      </c>
      <c r="B7" t="s">
        <v>9</v>
      </c>
      <c r="C7" s="49">
        <v>19194.72</v>
      </c>
      <c r="D7" s="49">
        <v>21961.516199999998</v>
      </c>
      <c r="E7" s="48">
        <f t="shared" si="0"/>
        <v>1.1441436082422665</v>
      </c>
      <c r="F7" t="str">
        <f t="shared" si="1"/>
        <v>GANA</v>
      </c>
    </row>
    <row r="8" spans="1:6">
      <c r="A8" t="s">
        <v>5</v>
      </c>
      <c r="B8" t="s">
        <v>10</v>
      </c>
      <c r="C8" s="49">
        <v>7405.62</v>
      </c>
      <c r="D8" s="49">
        <v>7519.7296000000006</v>
      </c>
      <c r="E8" s="48">
        <f t="shared" si="0"/>
        <v>1.0154085140744462</v>
      </c>
      <c r="F8" t="str">
        <f t="shared" si="1"/>
        <v>GANA</v>
      </c>
    </row>
    <row r="9" spans="1:6">
      <c r="A9" t="s">
        <v>5</v>
      </c>
      <c r="B9" t="s">
        <v>11</v>
      </c>
      <c r="C9" s="49">
        <v>62183.82</v>
      </c>
      <c r="D9" s="49">
        <v>67171.587500000009</v>
      </c>
      <c r="E9" s="48">
        <f t="shared" si="0"/>
        <v>1.0802100530330883</v>
      </c>
      <c r="F9" t="str">
        <f t="shared" si="1"/>
        <v>GANA</v>
      </c>
    </row>
    <row r="10" spans="1:6">
      <c r="A10" t="s">
        <v>5</v>
      </c>
      <c r="B10" t="s">
        <v>12</v>
      </c>
      <c r="C10" s="49">
        <v>14796</v>
      </c>
      <c r="D10" s="49">
        <v>11159.428599999999</v>
      </c>
      <c r="E10" s="48">
        <f t="shared" si="0"/>
        <v>0.75421928899702617</v>
      </c>
      <c r="F10" t="str">
        <f t="shared" si="1"/>
        <v>NO GANA</v>
      </c>
    </row>
    <row r="11" spans="1:6">
      <c r="A11" t="s">
        <v>5</v>
      </c>
      <c r="B11" t="s">
        <v>13</v>
      </c>
      <c r="C11" s="49">
        <v>62430</v>
      </c>
      <c r="D11" s="49">
        <v>52873.462800000008</v>
      </c>
      <c r="E11" s="48">
        <f t="shared" si="0"/>
        <v>0.84692395963479106</v>
      </c>
      <c r="F11" t="str">
        <f t="shared" si="1"/>
        <v>NO GANA</v>
      </c>
    </row>
    <row r="12" spans="1:6">
      <c r="A12" t="s">
        <v>5</v>
      </c>
      <c r="B12" t="s">
        <v>113</v>
      </c>
      <c r="C12" s="49">
        <v>40393.020000000004</v>
      </c>
      <c r="D12" s="49">
        <v>41875.2016</v>
      </c>
      <c r="E12" s="48">
        <f t="shared" si="0"/>
        <v>1.036694003072808</v>
      </c>
      <c r="F12" t="str">
        <f t="shared" si="1"/>
        <v>GANA</v>
      </c>
    </row>
    <row r="13" spans="1:6">
      <c r="A13" t="s">
        <v>5</v>
      </c>
      <c r="B13" t="s">
        <v>14</v>
      </c>
      <c r="C13" s="49">
        <v>13647</v>
      </c>
      <c r="D13" s="49">
        <v>14187.2024</v>
      </c>
      <c r="E13" s="48">
        <f t="shared" si="0"/>
        <v>1.0395839671722722</v>
      </c>
      <c r="F13" t="str">
        <f t="shared" si="1"/>
        <v>GANA</v>
      </c>
    </row>
    <row r="14" spans="1:6">
      <c r="A14" t="s">
        <v>5</v>
      </c>
      <c r="B14" t="s">
        <v>15</v>
      </c>
      <c r="C14" s="49">
        <v>50531.25</v>
      </c>
      <c r="D14" s="49">
        <v>64664.598000000013</v>
      </c>
      <c r="E14" s="48">
        <f t="shared" si="0"/>
        <v>1.2796951985157703</v>
      </c>
      <c r="F14" t="str">
        <f t="shared" si="1"/>
        <v>GANA</v>
      </c>
    </row>
    <row r="15" spans="1:6">
      <c r="A15" t="s">
        <v>5</v>
      </c>
      <c r="B15" t="s">
        <v>17</v>
      </c>
      <c r="C15" s="49">
        <v>27893.58</v>
      </c>
      <c r="D15" s="49">
        <v>31746.3848</v>
      </c>
      <c r="E15" s="48">
        <f t="shared" si="0"/>
        <v>1.1381251456428325</v>
      </c>
      <c r="F15" t="str">
        <f t="shared" si="1"/>
        <v>GANA</v>
      </c>
    </row>
    <row r="16" spans="1:6">
      <c r="A16" t="s">
        <v>5</v>
      </c>
      <c r="B16" t="s">
        <v>18</v>
      </c>
      <c r="C16" s="49">
        <v>8643.48</v>
      </c>
      <c r="D16" s="49">
        <v>8821.9366000000009</v>
      </c>
      <c r="E16" s="48">
        <f t="shared" si="0"/>
        <v>1.0206463831697419</v>
      </c>
      <c r="F16" t="str">
        <f t="shared" si="1"/>
        <v>GANA</v>
      </c>
    </row>
    <row r="17" spans="1:6">
      <c r="A17" t="s">
        <v>5</v>
      </c>
      <c r="B17" t="s">
        <v>114</v>
      </c>
      <c r="C17" s="49">
        <v>11295.3</v>
      </c>
      <c r="D17" s="49">
        <v>8827.9650000000001</v>
      </c>
      <c r="E17" s="48">
        <f t="shared" si="0"/>
        <v>0.78156091471674061</v>
      </c>
      <c r="F17" t="str">
        <f t="shared" si="1"/>
        <v>NO GANA</v>
      </c>
    </row>
    <row r="18" spans="1:6">
      <c r="A18" t="s">
        <v>5</v>
      </c>
      <c r="B18" t="s">
        <v>19</v>
      </c>
      <c r="C18" s="49">
        <v>5496.24</v>
      </c>
      <c r="D18" s="49">
        <v>3799.7208000000005</v>
      </c>
      <c r="E18" s="48">
        <f t="shared" si="0"/>
        <v>0.69133094624688896</v>
      </c>
      <c r="F18" t="str">
        <f t="shared" si="1"/>
        <v>NO GANA</v>
      </c>
    </row>
    <row r="19" spans="1:6">
      <c r="A19" t="s">
        <v>5</v>
      </c>
      <c r="B19" t="s">
        <v>20</v>
      </c>
      <c r="C19" s="49">
        <v>23793</v>
      </c>
      <c r="D19" s="49">
        <v>28377.662400000005</v>
      </c>
      <c r="E19" s="48">
        <f t="shared" si="0"/>
        <v>1.1926895473458583</v>
      </c>
      <c r="F19" t="str">
        <f t="shared" si="1"/>
        <v>GANA</v>
      </c>
    </row>
    <row r="20" spans="1:6">
      <c r="A20" t="s">
        <v>5</v>
      </c>
      <c r="B20" t="s">
        <v>21</v>
      </c>
      <c r="C20" s="49">
        <v>14233.92</v>
      </c>
      <c r="D20" s="49">
        <v>8692.4272000000019</v>
      </c>
      <c r="E20" s="48">
        <f t="shared" si="0"/>
        <v>0.61068399991007405</v>
      </c>
      <c r="F20" t="str">
        <f t="shared" si="1"/>
        <v>NO GANA</v>
      </c>
    </row>
    <row r="21" spans="1:6">
      <c r="A21" t="s">
        <v>5</v>
      </c>
      <c r="B21" t="s">
        <v>22</v>
      </c>
      <c r="C21" s="49">
        <v>27478.92</v>
      </c>
      <c r="D21" s="49">
        <v>27865.783599999999</v>
      </c>
      <c r="E21" s="48">
        <f t="shared" si="0"/>
        <v>1.0140785591282335</v>
      </c>
      <c r="F21" t="str">
        <f t="shared" si="1"/>
        <v>GANA</v>
      </c>
    </row>
    <row r="22" spans="1:6">
      <c r="A22" t="s">
        <v>5</v>
      </c>
      <c r="B22" t="s">
        <v>23</v>
      </c>
      <c r="C22" s="49">
        <v>10270.290000000001</v>
      </c>
      <c r="D22" s="49">
        <v>10756.0216</v>
      </c>
      <c r="E22" s="48">
        <f t="shared" si="0"/>
        <v>1.0472948280915144</v>
      </c>
      <c r="F22" t="str">
        <f t="shared" si="1"/>
        <v>GANA</v>
      </c>
    </row>
    <row r="23" spans="1:6">
      <c r="A23" t="s">
        <v>5</v>
      </c>
      <c r="B23" t="s">
        <v>24</v>
      </c>
      <c r="C23" s="49">
        <v>25070.639999999999</v>
      </c>
      <c r="D23" s="49">
        <v>9922.6437999999998</v>
      </c>
      <c r="E23" s="48">
        <f t="shared" si="0"/>
        <v>0.39578741507995008</v>
      </c>
      <c r="F23" t="str">
        <f t="shared" si="1"/>
        <v>NO GANA</v>
      </c>
    </row>
    <row r="24" spans="1:6">
      <c r="A24" t="s">
        <v>5</v>
      </c>
      <c r="B24" t="s">
        <v>25</v>
      </c>
      <c r="C24" s="49">
        <v>11052</v>
      </c>
      <c r="D24" s="49">
        <v>11826.0942</v>
      </c>
      <c r="E24" s="48">
        <f t="shared" si="0"/>
        <v>1.0700410966340934</v>
      </c>
      <c r="F24" t="str">
        <f t="shared" si="1"/>
        <v>GANA</v>
      </c>
    </row>
    <row r="25" spans="1:6">
      <c r="A25" t="s">
        <v>79</v>
      </c>
      <c r="C25" s="49">
        <v>560179.79999999993</v>
      </c>
      <c r="D25" s="49">
        <v>546537.20590000006</v>
      </c>
      <c r="E25" s="48">
        <f t="shared" si="0"/>
        <v>0.97564604418081502</v>
      </c>
      <c r="F25" t="str">
        <f t="shared" si="1"/>
        <v>NO GANA</v>
      </c>
    </row>
    <row r="26" spans="1:6">
      <c r="A26" t="s">
        <v>109</v>
      </c>
      <c r="B26" t="s">
        <v>27</v>
      </c>
      <c r="C26" s="49">
        <v>9567</v>
      </c>
      <c r="D26" s="49">
        <v>7170.618199999999</v>
      </c>
      <c r="E26" s="48">
        <f t="shared" si="0"/>
        <v>0.74951585659036257</v>
      </c>
      <c r="F26" t="str">
        <f t="shared" si="1"/>
        <v>NO GANA</v>
      </c>
    </row>
    <row r="27" spans="1:6">
      <c r="A27" t="s">
        <v>109</v>
      </c>
      <c r="B27" t="s">
        <v>115</v>
      </c>
      <c r="C27" s="49">
        <v>40116</v>
      </c>
      <c r="D27" s="49">
        <v>49367.711200000005</v>
      </c>
      <c r="E27" s="48">
        <f t="shared" si="0"/>
        <v>1.2306239704855919</v>
      </c>
      <c r="F27" t="str">
        <f t="shared" si="1"/>
        <v>GANA</v>
      </c>
    </row>
    <row r="28" spans="1:6">
      <c r="A28" t="s">
        <v>109</v>
      </c>
      <c r="B28" t="s">
        <v>28</v>
      </c>
      <c r="C28" s="49">
        <v>4620</v>
      </c>
      <c r="D28" s="49">
        <v>5474.8206000000009</v>
      </c>
      <c r="E28" s="48">
        <f t="shared" si="0"/>
        <v>1.1850261038961041</v>
      </c>
      <c r="F28" t="str">
        <f t="shared" si="1"/>
        <v>GANA</v>
      </c>
    </row>
    <row r="29" spans="1:6">
      <c r="A29" t="s">
        <v>109</v>
      </c>
      <c r="B29" t="s">
        <v>29</v>
      </c>
      <c r="C29" s="49">
        <v>30921</v>
      </c>
      <c r="D29" s="49">
        <v>34448.446000000004</v>
      </c>
      <c r="E29" s="48">
        <f t="shared" si="0"/>
        <v>1.1140792988583812</v>
      </c>
      <c r="F29" t="str">
        <f t="shared" si="1"/>
        <v>GANA</v>
      </c>
    </row>
    <row r="30" spans="1:6">
      <c r="A30" t="s">
        <v>109</v>
      </c>
      <c r="B30" t="s">
        <v>30</v>
      </c>
      <c r="C30" s="49">
        <v>13782</v>
      </c>
      <c r="D30" s="49">
        <v>16357.322400000003</v>
      </c>
      <c r="E30" s="48">
        <f t="shared" si="0"/>
        <v>1.1868612973443624</v>
      </c>
      <c r="F30" t="str">
        <f t="shared" si="1"/>
        <v>GANA</v>
      </c>
    </row>
    <row r="31" spans="1:6">
      <c r="A31" t="s">
        <v>109</v>
      </c>
      <c r="B31" t="s">
        <v>32</v>
      </c>
      <c r="C31" s="49">
        <v>6204</v>
      </c>
      <c r="D31" s="49">
        <v>7172.6736000000001</v>
      </c>
      <c r="E31" s="48">
        <f t="shared" si="0"/>
        <v>1.1561369439071567</v>
      </c>
      <c r="F31" t="str">
        <f t="shared" si="1"/>
        <v>GANA</v>
      </c>
    </row>
    <row r="32" spans="1:6">
      <c r="A32" t="s">
        <v>116</v>
      </c>
      <c r="C32" s="49">
        <v>105210</v>
      </c>
      <c r="D32" s="49">
        <v>119991.592</v>
      </c>
      <c r="E32" s="48">
        <f t="shared" si="0"/>
        <v>1.1404960745176314</v>
      </c>
      <c r="F32" t="str">
        <f t="shared" si="1"/>
        <v>GANA</v>
      </c>
    </row>
    <row r="33" spans="1:6">
      <c r="A33" t="s">
        <v>33</v>
      </c>
      <c r="B33" t="s">
        <v>117</v>
      </c>
      <c r="C33" s="49">
        <v>27372.959999999999</v>
      </c>
      <c r="D33" s="49">
        <v>30580.783000000003</v>
      </c>
      <c r="E33" s="48">
        <f t="shared" si="0"/>
        <v>1.1171894818828509</v>
      </c>
      <c r="F33" t="str">
        <f t="shared" si="1"/>
        <v>GANA</v>
      </c>
    </row>
    <row r="34" spans="1:6">
      <c r="A34" t="s">
        <v>33</v>
      </c>
      <c r="B34" t="s">
        <v>35</v>
      </c>
      <c r="C34" s="49">
        <v>72619.199999999997</v>
      </c>
      <c r="D34" s="49">
        <v>83073.425600000002</v>
      </c>
      <c r="E34" s="48">
        <f t="shared" si="0"/>
        <v>1.1439595258554212</v>
      </c>
      <c r="F34" t="str">
        <f t="shared" si="1"/>
        <v>GANA</v>
      </c>
    </row>
    <row r="35" spans="1:6">
      <c r="A35" t="s">
        <v>33</v>
      </c>
      <c r="B35" t="s">
        <v>118</v>
      </c>
      <c r="C35" s="49">
        <v>65453.279999999999</v>
      </c>
      <c r="D35" s="49">
        <v>65474.311999999998</v>
      </c>
      <c r="E35" s="48">
        <f t="shared" si="0"/>
        <v>1.000321328434572</v>
      </c>
      <c r="F35" t="str">
        <f t="shared" si="1"/>
        <v>GANA</v>
      </c>
    </row>
    <row r="36" spans="1:6">
      <c r="A36" t="s">
        <v>33</v>
      </c>
      <c r="B36" t="s">
        <v>37</v>
      </c>
      <c r="C36" s="49">
        <v>205030.22999999998</v>
      </c>
      <c r="D36" s="49">
        <v>232008.82439999992</v>
      </c>
      <c r="E36" s="48">
        <f t="shared" si="0"/>
        <v>1.1315834957606006</v>
      </c>
      <c r="F36" t="str">
        <f t="shared" si="1"/>
        <v>GANA</v>
      </c>
    </row>
    <row r="37" spans="1:6">
      <c r="A37" t="s">
        <v>33</v>
      </c>
      <c r="B37" t="s">
        <v>38</v>
      </c>
      <c r="C37" s="49">
        <v>18410.16</v>
      </c>
      <c r="D37" s="49">
        <v>7866.9727999999986</v>
      </c>
      <c r="E37" s="48">
        <f t="shared" si="0"/>
        <v>0.42731691631142799</v>
      </c>
      <c r="F37" t="str">
        <f t="shared" si="1"/>
        <v>NO GANA</v>
      </c>
    </row>
    <row r="38" spans="1:6">
      <c r="A38" t="s">
        <v>33</v>
      </c>
      <c r="B38" t="s">
        <v>39</v>
      </c>
      <c r="C38" s="49">
        <v>54177.48</v>
      </c>
      <c r="D38" s="49">
        <v>32689.058199999999</v>
      </c>
      <c r="E38" s="48">
        <f t="shared" si="0"/>
        <v>0.60336985404267596</v>
      </c>
      <c r="F38" t="str">
        <f t="shared" si="1"/>
        <v>NO GANA</v>
      </c>
    </row>
    <row r="39" spans="1:6">
      <c r="A39" t="s">
        <v>33</v>
      </c>
      <c r="B39" t="s">
        <v>40</v>
      </c>
      <c r="C39" s="49">
        <v>23867.61</v>
      </c>
      <c r="D39" s="49">
        <v>33336.768400000001</v>
      </c>
      <c r="E39" s="48">
        <f t="shared" si="0"/>
        <v>1.3967367658512939</v>
      </c>
      <c r="F39" t="str">
        <f t="shared" si="1"/>
        <v>GANA</v>
      </c>
    </row>
    <row r="40" spans="1:6">
      <c r="A40" t="s">
        <v>33</v>
      </c>
      <c r="B40" t="s">
        <v>41</v>
      </c>
      <c r="C40" s="49">
        <v>14749.679999999998</v>
      </c>
      <c r="D40" s="49">
        <v>4434.6859999999997</v>
      </c>
      <c r="E40" s="48">
        <f t="shared" si="0"/>
        <v>0.30066320082876374</v>
      </c>
      <c r="F40" t="str">
        <f t="shared" si="1"/>
        <v>NO GANA</v>
      </c>
    </row>
    <row r="41" spans="1:6">
      <c r="A41" t="s">
        <v>33</v>
      </c>
      <c r="B41" t="s">
        <v>42</v>
      </c>
      <c r="C41" s="49">
        <v>24415.14</v>
      </c>
      <c r="D41" s="49">
        <v>24456.294399999999</v>
      </c>
      <c r="E41" s="48">
        <f t="shared" si="0"/>
        <v>1.0016856098306215</v>
      </c>
      <c r="F41" t="str">
        <f t="shared" si="1"/>
        <v>GANA</v>
      </c>
    </row>
    <row r="42" spans="1:6">
      <c r="A42" t="s">
        <v>33</v>
      </c>
      <c r="B42" t="s">
        <v>43</v>
      </c>
      <c r="C42" s="49">
        <v>8119.23</v>
      </c>
      <c r="D42" s="49">
        <v>2588.4031999999997</v>
      </c>
      <c r="E42" s="48">
        <f t="shared" si="0"/>
        <v>0.31879909794401684</v>
      </c>
      <c r="F42" t="str">
        <f t="shared" si="1"/>
        <v>NO GANA</v>
      </c>
    </row>
    <row r="43" spans="1:6">
      <c r="A43" t="s">
        <v>33</v>
      </c>
      <c r="B43" t="s">
        <v>44</v>
      </c>
      <c r="C43" s="49">
        <v>31893.78</v>
      </c>
      <c r="D43" s="49">
        <v>17219.414200000003</v>
      </c>
      <c r="E43" s="48">
        <f t="shared" si="0"/>
        <v>0.53989882039695525</v>
      </c>
      <c r="F43" t="str">
        <f t="shared" si="1"/>
        <v>NO GANA</v>
      </c>
    </row>
    <row r="44" spans="1:6">
      <c r="A44" t="s">
        <v>33</v>
      </c>
      <c r="B44" t="s">
        <v>45</v>
      </c>
      <c r="C44" s="49">
        <v>107458.32</v>
      </c>
      <c r="D44" s="49">
        <v>53783.053199999995</v>
      </c>
      <c r="E44" s="48">
        <f t="shared" si="0"/>
        <v>0.50050152654536184</v>
      </c>
      <c r="F44" t="str">
        <f t="shared" si="1"/>
        <v>NO GANA</v>
      </c>
    </row>
    <row r="45" spans="1:6">
      <c r="A45" t="s">
        <v>33</v>
      </c>
      <c r="B45" t="s">
        <v>46</v>
      </c>
      <c r="C45" s="49">
        <v>48802.200000000004</v>
      </c>
      <c r="D45" s="49">
        <v>31376.8328</v>
      </c>
      <c r="E45" s="48">
        <f t="shared" si="0"/>
        <v>0.6429389002954784</v>
      </c>
      <c r="F45" t="str">
        <f t="shared" si="1"/>
        <v>NO GANA</v>
      </c>
    </row>
    <row r="46" spans="1:6">
      <c r="A46" t="s">
        <v>33</v>
      </c>
      <c r="B46" t="s">
        <v>47</v>
      </c>
      <c r="C46" s="49">
        <v>15028.650000000001</v>
      </c>
      <c r="D46" s="49">
        <v>14483.760399999999</v>
      </c>
      <c r="E46" s="48">
        <f t="shared" si="0"/>
        <v>0.963743277007582</v>
      </c>
      <c r="F46" t="str">
        <f t="shared" si="1"/>
        <v>NO GANA</v>
      </c>
    </row>
    <row r="47" spans="1:6">
      <c r="A47" t="s">
        <v>33</v>
      </c>
      <c r="B47" t="s">
        <v>48</v>
      </c>
      <c r="C47" s="49">
        <v>53520.3</v>
      </c>
      <c r="D47" s="49">
        <v>56373.85330000001</v>
      </c>
      <c r="E47" s="48">
        <f t="shared" si="0"/>
        <v>1.0533172142159144</v>
      </c>
      <c r="F47" t="str">
        <f t="shared" si="1"/>
        <v>GANA</v>
      </c>
    </row>
    <row r="48" spans="1:6">
      <c r="A48" t="s">
        <v>81</v>
      </c>
      <c r="C48" s="49">
        <v>770918.21999999986</v>
      </c>
      <c r="D48" s="49">
        <v>689746.44189999986</v>
      </c>
      <c r="E48" s="48">
        <f t="shared" si="0"/>
        <v>0.89470766678727609</v>
      </c>
      <c r="F48" t="str">
        <f t="shared" si="1"/>
        <v>NO GANA</v>
      </c>
    </row>
    <row r="49" spans="1:6">
      <c r="A49" t="s">
        <v>49</v>
      </c>
      <c r="B49" t="s">
        <v>50</v>
      </c>
      <c r="C49" s="49">
        <v>23463</v>
      </c>
      <c r="D49" s="49">
        <v>25698.015599999999</v>
      </c>
      <c r="E49" s="48">
        <f t="shared" si="0"/>
        <v>1.0952570259557601</v>
      </c>
      <c r="F49" t="str">
        <f t="shared" si="1"/>
        <v>GANA</v>
      </c>
    </row>
    <row r="50" spans="1:6">
      <c r="A50" t="s">
        <v>49</v>
      </c>
      <c r="B50" t="s">
        <v>51</v>
      </c>
      <c r="C50" s="49">
        <v>24105</v>
      </c>
      <c r="D50" s="49">
        <v>24272.162399999997</v>
      </c>
      <c r="E50" s="48">
        <f t="shared" si="0"/>
        <v>1.0069347604231487</v>
      </c>
      <c r="F50" t="str">
        <f t="shared" si="1"/>
        <v>GANA</v>
      </c>
    </row>
    <row r="51" spans="1:6">
      <c r="A51" t="s">
        <v>49</v>
      </c>
      <c r="B51" t="s">
        <v>52</v>
      </c>
      <c r="C51" s="49">
        <v>38580</v>
      </c>
      <c r="D51" s="49">
        <v>0</v>
      </c>
      <c r="E51" s="48">
        <f t="shared" si="0"/>
        <v>0</v>
      </c>
      <c r="F51" t="str">
        <f t="shared" si="1"/>
        <v>NO GANA</v>
      </c>
    </row>
    <row r="52" spans="1:6">
      <c r="A52" t="s">
        <v>49</v>
      </c>
      <c r="B52" t="s">
        <v>53</v>
      </c>
      <c r="C52" s="49">
        <v>20739</v>
      </c>
      <c r="D52" s="49">
        <v>22149.764199999998</v>
      </c>
      <c r="E52" s="48">
        <f t="shared" si="0"/>
        <v>1.0680246974299628</v>
      </c>
      <c r="F52" t="str">
        <f t="shared" si="1"/>
        <v>GANA</v>
      </c>
    </row>
    <row r="53" spans="1:6">
      <c r="A53" t="s">
        <v>49</v>
      </c>
      <c r="B53" t="s">
        <v>54</v>
      </c>
      <c r="C53" s="49">
        <v>17679</v>
      </c>
      <c r="D53" s="49">
        <v>17508.036400000001</v>
      </c>
      <c r="E53" s="48">
        <f t="shared" si="0"/>
        <v>0.99032956615193168</v>
      </c>
      <c r="F53" t="str">
        <f t="shared" si="1"/>
        <v>NO GANA</v>
      </c>
    </row>
    <row r="54" spans="1:6">
      <c r="A54" t="s">
        <v>49</v>
      </c>
      <c r="B54" t="s">
        <v>55</v>
      </c>
      <c r="C54" s="49">
        <v>20133</v>
      </c>
      <c r="D54" s="49">
        <v>15771.1808</v>
      </c>
      <c r="E54" s="48">
        <f t="shared" si="0"/>
        <v>0.78334976406894152</v>
      </c>
      <c r="F54" t="str">
        <f t="shared" si="1"/>
        <v>NO GANA</v>
      </c>
    </row>
    <row r="55" spans="1:6">
      <c r="A55" t="s">
        <v>49</v>
      </c>
      <c r="B55" t="s">
        <v>56</v>
      </c>
      <c r="C55" s="49">
        <v>66504</v>
      </c>
      <c r="D55" s="49">
        <v>51293.292600000001</v>
      </c>
      <c r="E55" s="48">
        <f t="shared" si="0"/>
        <v>0.77128131540959943</v>
      </c>
      <c r="F55" t="str">
        <f t="shared" si="1"/>
        <v>NO GANA</v>
      </c>
    </row>
    <row r="56" spans="1:6">
      <c r="A56" t="s">
        <v>49</v>
      </c>
      <c r="B56" t="s">
        <v>57</v>
      </c>
      <c r="C56" s="49">
        <v>36000</v>
      </c>
      <c r="D56" s="49">
        <v>45280.452799999999</v>
      </c>
      <c r="E56" s="48">
        <f t="shared" si="0"/>
        <v>1.2577903555555556</v>
      </c>
      <c r="F56" t="str">
        <f t="shared" si="1"/>
        <v>GANA</v>
      </c>
    </row>
    <row r="57" spans="1:6">
      <c r="A57" t="s">
        <v>49</v>
      </c>
      <c r="B57" t="s">
        <v>58</v>
      </c>
      <c r="C57" s="49">
        <v>36283</v>
      </c>
      <c r="D57" s="49">
        <v>52876.686399999999</v>
      </c>
      <c r="E57" s="48">
        <f t="shared" si="0"/>
        <v>1.4573405286222196</v>
      </c>
      <c r="F57" t="str">
        <f t="shared" si="1"/>
        <v>GANA</v>
      </c>
    </row>
    <row r="58" spans="1:6">
      <c r="A58" t="s">
        <v>49</v>
      </c>
      <c r="B58" t="s">
        <v>59</v>
      </c>
      <c r="C58" s="49">
        <v>79848</v>
      </c>
      <c r="D58" s="49">
        <v>68157.301599999992</v>
      </c>
      <c r="E58" s="48">
        <f t="shared" si="0"/>
        <v>0.85358808736599534</v>
      </c>
      <c r="F58" t="str">
        <f t="shared" si="1"/>
        <v>NO GANA</v>
      </c>
    </row>
    <row r="59" spans="1:6">
      <c r="A59" t="s">
        <v>49</v>
      </c>
      <c r="B59" t="s">
        <v>60</v>
      </c>
      <c r="C59" s="49">
        <v>14124</v>
      </c>
      <c r="D59" s="49">
        <v>15033.894</v>
      </c>
      <c r="E59" s="48">
        <f t="shared" si="0"/>
        <v>1.0644218351741717</v>
      </c>
      <c r="F59" t="str">
        <f t="shared" si="1"/>
        <v>GANA</v>
      </c>
    </row>
    <row r="60" spans="1:6">
      <c r="A60" t="s">
        <v>49</v>
      </c>
      <c r="B60" t="s">
        <v>61</v>
      </c>
      <c r="C60" s="49">
        <v>34416</v>
      </c>
      <c r="D60" s="49">
        <v>33148.824000000001</v>
      </c>
      <c r="E60" s="48">
        <f t="shared" si="0"/>
        <v>0.9631806136680614</v>
      </c>
      <c r="F60" t="str">
        <f t="shared" si="1"/>
        <v>NO GANA</v>
      </c>
    </row>
    <row r="61" spans="1:6">
      <c r="A61" t="s">
        <v>49</v>
      </c>
      <c r="B61" t="s">
        <v>62</v>
      </c>
      <c r="C61" s="49">
        <v>43752</v>
      </c>
      <c r="D61" s="49">
        <v>44279.915200000003</v>
      </c>
      <c r="E61" s="48">
        <f t="shared" si="0"/>
        <v>1.0120660815505578</v>
      </c>
      <c r="F61" t="str">
        <f t="shared" si="1"/>
        <v>GANA</v>
      </c>
    </row>
    <row r="62" spans="1:6">
      <c r="A62" t="s">
        <v>49</v>
      </c>
      <c r="B62" t="s">
        <v>63</v>
      </c>
      <c r="C62" s="49">
        <v>17787.122016000001</v>
      </c>
      <c r="D62" s="49">
        <v>19875.832600000002</v>
      </c>
      <c r="E62" s="48">
        <f t="shared" si="0"/>
        <v>1.1174282484890556</v>
      </c>
      <c r="F62" t="str">
        <f t="shared" si="1"/>
        <v>GANA</v>
      </c>
    </row>
    <row r="63" spans="1:6">
      <c r="A63" t="s">
        <v>49</v>
      </c>
      <c r="B63" t="s">
        <v>64</v>
      </c>
      <c r="C63" s="49">
        <v>13713</v>
      </c>
      <c r="D63" s="49">
        <v>14248.205399999999</v>
      </c>
      <c r="E63" s="48">
        <f t="shared" si="0"/>
        <v>1.0390290527236927</v>
      </c>
      <c r="F63" t="str">
        <f t="shared" si="1"/>
        <v>GANA</v>
      </c>
    </row>
    <row r="64" spans="1:6">
      <c r="A64" t="s">
        <v>49</v>
      </c>
      <c r="B64" t="s">
        <v>65</v>
      </c>
      <c r="C64" s="49">
        <v>57168</v>
      </c>
      <c r="D64" s="49">
        <v>55216.0524</v>
      </c>
      <c r="E64" s="48">
        <f t="shared" si="0"/>
        <v>0.96585594038623002</v>
      </c>
      <c r="F64" t="str">
        <f t="shared" si="1"/>
        <v>NO GANA</v>
      </c>
    </row>
    <row r="65" spans="1:6">
      <c r="A65" t="s">
        <v>49</v>
      </c>
      <c r="B65" t="s">
        <v>66</v>
      </c>
      <c r="C65" s="49">
        <v>29352</v>
      </c>
      <c r="D65" s="49">
        <v>13869.434399999998</v>
      </c>
      <c r="E65" s="48">
        <f t="shared" si="0"/>
        <v>0.47252093213409641</v>
      </c>
      <c r="F65" t="str">
        <f t="shared" si="1"/>
        <v>NO GANA</v>
      </c>
    </row>
    <row r="66" spans="1:6">
      <c r="A66" t="s">
        <v>49</v>
      </c>
      <c r="B66" t="s">
        <v>67</v>
      </c>
      <c r="C66" s="49">
        <v>18321</v>
      </c>
      <c r="D66" s="49">
        <v>16119.608399999997</v>
      </c>
      <c r="E66" s="48">
        <f t="shared" si="0"/>
        <v>0.87984326183068595</v>
      </c>
      <c r="F66" t="str">
        <f t="shared" si="1"/>
        <v>NO GANA</v>
      </c>
    </row>
    <row r="67" spans="1:6">
      <c r="A67" t="s">
        <v>49</v>
      </c>
      <c r="B67" t="s">
        <v>69</v>
      </c>
      <c r="C67" s="49">
        <v>37005</v>
      </c>
      <c r="D67" s="49">
        <v>15171.536800000002</v>
      </c>
      <c r="E67" s="48">
        <f t="shared" si="0"/>
        <v>0.40998613160383734</v>
      </c>
      <c r="F67" t="str">
        <f t="shared" si="1"/>
        <v>NO GANA</v>
      </c>
    </row>
    <row r="68" spans="1:6">
      <c r="A68" t="s">
        <v>49</v>
      </c>
      <c r="B68" t="s">
        <v>120</v>
      </c>
      <c r="C68" s="49">
        <v>30825</v>
      </c>
      <c r="D68" s="49">
        <v>35515.200000000004</v>
      </c>
      <c r="E68" s="48">
        <f t="shared" si="0"/>
        <v>1.1521557177615573</v>
      </c>
      <c r="F68" t="str">
        <f t="shared" si="1"/>
        <v>GANA</v>
      </c>
    </row>
    <row r="69" spans="1:6">
      <c r="A69" t="s">
        <v>82</v>
      </c>
      <c r="C69" s="49">
        <v>659797.12201599998</v>
      </c>
      <c r="D69" s="49">
        <v>585485.39599999995</v>
      </c>
      <c r="E69" s="48">
        <f t="shared" ref="E69:E72" si="2">+D69/C69</f>
        <v>0.88737185486814241</v>
      </c>
      <c r="F69" t="str">
        <f t="shared" ref="F69:F72" si="3">IF(E69&gt;=99.99%,"GANA","NO GANA")</f>
        <v>NO GANA</v>
      </c>
    </row>
    <row r="70" spans="1:6">
      <c r="A70" t="s">
        <v>73</v>
      </c>
      <c r="C70" s="49">
        <v>2096105.1420159999</v>
      </c>
      <c r="D70" s="49">
        <v>1941760.6358000005</v>
      </c>
      <c r="E70" s="48">
        <f t="shared" si="2"/>
        <v>0.92636604761746189</v>
      </c>
      <c r="F70" t="str">
        <f t="shared" si="3"/>
        <v>NO GANA</v>
      </c>
    </row>
    <row r="71" spans="1:6">
      <c r="E71" s="48" t="e">
        <f t="shared" si="2"/>
        <v>#DIV/0!</v>
      </c>
      <c r="F71" t="e">
        <f t="shared" si="3"/>
        <v>#DIV/0!</v>
      </c>
    </row>
    <row r="72" spans="1:6">
      <c r="E72" s="48" t="e">
        <f t="shared" si="2"/>
        <v>#DIV/0!</v>
      </c>
      <c r="F72" t="e">
        <f t="shared" si="3"/>
        <v>#DIV/0!</v>
      </c>
    </row>
    <row r="73" spans="1:6">
      <c r="E73" s="4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A677-68AC-4D01-A5AC-F0BB53EE0181}">
  <dimension ref="A1:Z329"/>
  <sheetViews>
    <sheetView showGridLines="0" zoomScale="90" zoomScaleNormal="90" workbookViewId="0">
      <pane xSplit="6" topLeftCell="Q1" activePane="topRight" state="frozen"/>
      <selection pane="topRight" activeCell="P279" sqref="P279"/>
    </sheetView>
  </sheetViews>
  <sheetFormatPr defaultColWidth="9.140625" defaultRowHeight="15" customHeight="1" outlineLevelCol="1"/>
  <cols>
    <col min="1" max="1" width="11.28515625" customWidth="1"/>
    <col min="2" max="2" width="29.7109375" customWidth="1"/>
    <col min="3" max="3" width="9.28515625" customWidth="1"/>
    <col min="4" max="4" width="15.140625" style="20" customWidth="1"/>
    <col min="5" max="5" width="42.42578125" customWidth="1"/>
    <col min="6" max="6" width="21.42578125" customWidth="1" outlineLevel="1"/>
    <col min="7" max="7" width="17.42578125" customWidth="1" outlineLevel="1"/>
    <col min="8" max="8" width="17.7109375" customWidth="1" outlineLevel="1"/>
    <col min="9" max="9" width="23" customWidth="1" outlineLevel="1"/>
    <col min="10" max="10" width="11.42578125" style="13" bestFit="1" customWidth="1"/>
    <col min="11" max="11" width="11.42578125" style="13" customWidth="1" outlineLevel="1"/>
    <col min="12" max="12" width="11.42578125" style="47" customWidth="1" outlineLevel="1"/>
    <col min="13" max="13" width="12.85546875" style="48" customWidth="1" outlineLevel="1"/>
    <col min="14" max="14" width="13.5703125" style="48" bestFit="1" customWidth="1" outlineLevel="1"/>
    <col min="15" max="15" width="14.85546875" style="48" customWidth="1" outlineLevel="1"/>
    <col min="16" max="16" width="17.42578125" customWidth="1" outlineLevel="1"/>
    <col min="17" max="17" width="15.42578125" customWidth="1" outlineLevel="1"/>
    <col min="18" max="18" width="18.28515625" customWidth="1" outlineLevel="1"/>
    <col min="19" max="20" width="9.140625" customWidth="1" outlineLevel="1"/>
    <col min="21" max="21" width="13.42578125" customWidth="1" outlineLevel="1"/>
    <col min="22" max="22" width="14.85546875" customWidth="1" outlineLevel="1"/>
    <col min="23" max="23" width="6.85546875" customWidth="1"/>
    <col min="24" max="24" width="9.140625" customWidth="1"/>
    <col min="25" max="25" width="46.5703125" bestFit="1" customWidth="1"/>
  </cols>
  <sheetData>
    <row r="1" spans="1:25" ht="15" customHeight="1">
      <c r="J1"/>
      <c r="K1"/>
      <c r="L1"/>
      <c r="M1" s="91" t="s">
        <v>175</v>
      </c>
      <c r="N1" s="92"/>
      <c r="O1" s="93"/>
    </row>
    <row r="2" spans="1:25" s="5" customFormat="1" ht="57.95">
      <c r="A2" s="3" t="s">
        <v>0</v>
      </c>
      <c r="B2" s="1" t="s">
        <v>1</v>
      </c>
      <c r="C2" s="1" t="s">
        <v>128</v>
      </c>
      <c r="D2" s="1" t="s">
        <v>176</v>
      </c>
      <c r="E2" s="1" t="s">
        <v>177</v>
      </c>
      <c r="F2" s="21" t="s">
        <v>178</v>
      </c>
      <c r="G2" s="21" t="s">
        <v>179</v>
      </c>
      <c r="H2" s="21" t="s">
        <v>180</v>
      </c>
      <c r="I2" s="21" t="s">
        <v>181</v>
      </c>
      <c r="J2" s="22" t="s">
        <v>182</v>
      </c>
      <c r="K2" s="22" t="s">
        <v>183</v>
      </c>
      <c r="L2" s="23" t="s">
        <v>184</v>
      </c>
      <c r="M2" s="24" t="s">
        <v>178</v>
      </c>
      <c r="N2" s="24" t="s">
        <v>179</v>
      </c>
      <c r="O2" s="24" t="s">
        <v>180</v>
      </c>
      <c r="P2" s="25" t="s">
        <v>185</v>
      </c>
      <c r="Q2" s="26" t="s">
        <v>186</v>
      </c>
      <c r="R2" s="26" t="s">
        <v>187</v>
      </c>
      <c r="S2" s="26" t="s">
        <v>188</v>
      </c>
      <c r="T2" s="26" t="s">
        <v>189</v>
      </c>
      <c r="U2" s="26" t="s">
        <v>190</v>
      </c>
      <c r="V2" s="27" t="s">
        <v>191</v>
      </c>
      <c r="Y2" s="5" t="s">
        <v>192</v>
      </c>
    </row>
    <row r="3" spans="1:25" ht="14.45">
      <c r="A3" s="7" t="s">
        <v>5</v>
      </c>
      <c r="B3" s="51" t="s">
        <v>25</v>
      </c>
      <c r="C3" s="9" t="s">
        <v>135</v>
      </c>
      <c r="D3" s="8" t="s">
        <v>165</v>
      </c>
      <c r="E3" s="8" t="str">
        <f t="shared" ref="E3:E66" si="0">_xlfn.CONCAT(B3,D3)</f>
        <v>ZAMBRANO ZAMBRANO CLEYTON ELIECERBARRA</v>
      </c>
      <c r="F3" s="28">
        <v>600</v>
      </c>
      <c r="G3" s="28">
        <v>600</v>
      </c>
      <c r="H3" s="28">
        <v>600</v>
      </c>
      <c r="I3" s="34">
        <f t="shared" ref="I3:I66" si="1">+F3+G3+H3</f>
        <v>1800</v>
      </c>
      <c r="J3" s="29">
        <v>1.4999999999999999E-2</v>
      </c>
      <c r="K3" s="30">
        <f t="shared" ref="K3:K66" si="2">+I3*J3</f>
        <v>27</v>
      </c>
      <c r="L3" s="31">
        <f t="shared" ref="L3:L66" si="3">(I3*1.1)*J3</f>
        <v>29.700000000000003</v>
      </c>
      <c r="M3" s="32">
        <v>697.81880000000001</v>
      </c>
      <c r="N3" s="32">
        <v>213.64799999999997</v>
      </c>
      <c r="O3" s="32">
        <v>673.6268</v>
      </c>
      <c r="P3" s="81">
        <v>0</v>
      </c>
      <c r="Q3" s="10">
        <f t="shared" ref="Q3:Q68" si="4">SUM(M3:O3)</f>
        <v>1585.0935999999999</v>
      </c>
      <c r="R3" s="33">
        <f t="shared" ref="R3:R66" si="5">+Q3/I3</f>
        <v>0.88060755555555548</v>
      </c>
      <c r="S3" s="33" t="str">
        <f t="shared" ref="S3:S68" si="6">IF(R3&gt;=80%,"GANA","NO GANA")</f>
        <v>GANA</v>
      </c>
      <c r="T3" s="33" t="str">
        <f>VLOOKUP(B3,'CUOTA TOTAL'!$B$4:$F$72,5,FALSE)</f>
        <v>GANA</v>
      </c>
      <c r="U3" s="31">
        <f t="shared" ref="U3:U66" si="7">IF(AND(T3="GANA",S3="GANA"),Q3*J3,0)</f>
        <v>23.776403999999999</v>
      </c>
      <c r="V3" s="31">
        <f t="shared" ref="V3:V66" si="8">IF(U3&lt;=L3,U3,L3)</f>
        <v>23.776403999999999</v>
      </c>
    </row>
    <row r="4" spans="1:25" ht="14.45">
      <c r="A4" s="7" t="s">
        <v>5</v>
      </c>
      <c r="B4" s="51" t="s">
        <v>25</v>
      </c>
      <c r="C4" s="9" t="s">
        <v>135</v>
      </c>
      <c r="D4" s="8" t="s">
        <v>193</v>
      </c>
      <c r="E4" s="8" t="str">
        <f t="shared" si="0"/>
        <v>ZAMBRANO ZAMBRANO CLEYTON ELIECERCREMA</v>
      </c>
      <c r="F4" s="28">
        <v>1314</v>
      </c>
      <c r="G4" s="28">
        <v>1314</v>
      </c>
      <c r="H4" s="28">
        <v>1314</v>
      </c>
      <c r="I4" s="34">
        <f t="shared" si="1"/>
        <v>3942</v>
      </c>
      <c r="J4" s="29">
        <v>3.5000000000000003E-2</v>
      </c>
      <c r="K4" s="30">
        <f t="shared" si="2"/>
        <v>137.97000000000003</v>
      </c>
      <c r="L4" s="31">
        <f t="shared" si="3"/>
        <v>151.76700000000005</v>
      </c>
      <c r="M4" s="32">
        <v>1401.5471999999991</v>
      </c>
      <c r="N4" s="32">
        <v>1074.4788000000003</v>
      </c>
      <c r="O4" s="32">
        <v>1923.4079999999983</v>
      </c>
      <c r="P4" s="81">
        <v>0</v>
      </c>
      <c r="Q4" s="10">
        <f t="shared" si="4"/>
        <v>4399.4339999999975</v>
      </c>
      <c r="R4" s="33">
        <f t="shared" si="5"/>
        <v>1.1160410958904103</v>
      </c>
      <c r="S4" s="33" t="str">
        <f t="shared" si="6"/>
        <v>GANA</v>
      </c>
      <c r="T4" s="33" t="str">
        <f>VLOOKUP(B4,'CUOTA TOTAL'!$B$4:$F$72,5,FALSE)</f>
        <v>GANA</v>
      </c>
      <c r="U4" s="31">
        <f t="shared" si="7"/>
        <v>153.98018999999994</v>
      </c>
      <c r="V4" s="31">
        <f t="shared" si="8"/>
        <v>151.76700000000005</v>
      </c>
    </row>
    <row r="5" spans="1:25" ht="14.45">
      <c r="A5" s="7" t="s">
        <v>5</v>
      </c>
      <c r="B5" s="51" t="s">
        <v>25</v>
      </c>
      <c r="C5" s="9" t="s">
        <v>135</v>
      </c>
      <c r="D5" s="8" t="s">
        <v>194</v>
      </c>
      <c r="E5" s="8" t="s">
        <v>195</v>
      </c>
      <c r="F5" s="28">
        <v>110</v>
      </c>
      <c r="G5" s="28">
        <v>110</v>
      </c>
      <c r="H5" s="28">
        <v>110</v>
      </c>
      <c r="I5" s="34">
        <f t="shared" si="1"/>
        <v>330</v>
      </c>
      <c r="J5" s="29">
        <v>1.4999999999999999E-2</v>
      </c>
      <c r="K5" s="30">
        <f t="shared" si="2"/>
        <v>4.95</v>
      </c>
      <c r="L5" s="31">
        <f t="shared" si="3"/>
        <v>5.4450000000000003</v>
      </c>
      <c r="M5" s="32">
        <v>404.36160000000001</v>
      </c>
      <c r="N5" s="32">
        <v>0</v>
      </c>
      <c r="O5" s="32">
        <v>0</v>
      </c>
      <c r="P5" s="81">
        <v>0</v>
      </c>
      <c r="Q5" s="10">
        <f t="shared" si="4"/>
        <v>404.36160000000001</v>
      </c>
      <c r="R5" s="33">
        <f t="shared" si="5"/>
        <v>1.2253381818181819</v>
      </c>
      <c r="S5" s="33" t="str">
        <f t="shared" si="6"/>
        <v>GANA</v>
      </c>
      <c r="T5" s="33" t="str">
        <f>VLOOKUP(B5,'CUOTA TOTAL'!$B$4:$F$72,5,FALSE)</f>
        <v>GANA</v>
      </c>
      <c r="U5" s="31">
        <f t="shared" si="7"/>
        <v>6.0654240000000001</v>
      </c>
      <c r="V5" s="31">
        <f t="shared" si="8"/>
        <v>5.4450000000000003</v>
      </c>
    </row>
    <row r="6" spans="1:25" ht="14.45">
      <c r="A6" s="7" t="s">
        <v>5</v>
      </c>
      <c r="B6" s="51" t="s">
        <v>25</v>
      </c>
      <c r="C6" s="9" t="s">
        <v>135</v>
      </c>
      <c r="D6" s="8" t="s">
        <v>196</v>
      </c>
      <c r="E6" s="8" t="str">
        <f t="shared" si="0"/>
        <v>ZAMBRANO ZAMBRANO CLEYTON ELIECERPOLVO DETERGENTE</v>
      </c>
      <c r="F6" s="28">
        <v>1650</v>
      </c>
      <c r="G6" s="28">
        <v>1650</v>
      </c>
      <c r="H6" s="28">
        <v>1650</v>
      </c>
      <c r="I6" s="34">
        <f t="shared" si="1"/>
        <v>4950</v>
      </c>
      <c r="J6" s="29">
        <v>4.4999999999999998E-2</v>
      </c>
      <c r="K6" s="30">
        <f t="shared" si="2"/>
        <v>222.75</v>
      </c>
      <c r="L6" s="31">
        <f t="shared" si="3"/>
        <v>245.02499999999998</v>
      </c>
      <c r="M6" s="32">
        <v>1770.597</v>
      </c>
      <c r="N6" s="32">
        <v>1180.7920000000001</v>
      </c>
      <c r="O6" s="32">
        <v>2367.8160000000007</v>
      </c>
      <c r="P6" s="81">
        <v>0</v>
      </c>
      <c r="Q6" s="10">
        <f t="shared" si="4"/>
        <v>5319.2050000000008</v>
      </c>
      <c r="R6" s="33">
        <f t="shared" si="5"/>
        <v>1.0745868686868689</v>
      </c>
      <c r="S6" s="33" t="str">
        <f t="shared" si="6"/>
        <v>GANA</v>
      </c>
      <c r="T6" s="33" t="str">
        <f>VLOOKUP(B6,'CUOTA TOTAL'!$B$4:$F$72,5,FALSE)</f>
        <v>GANA</v>
      </c>
      <c r="U6" s="31">
        <f t="shared" si="7"/>
        <v>239.36422500000003</v>
      </c>
      <c r="V6" s="31">
        <f t="shared" si="8"/>
        <v>239.36422500000003</v>
      </c>
    </row>
    <row r="7" spans="1:25" ht="14.45">
      <c r="A7" s="7" t="s">
        <v>5</v>
      </c>
      <c r="B7" s="51" t="s">
        <v>25</v>
      </c>
      <c r="C7" s="9" t="s">
        <v>135</v>
      </c>
      <c r="D7" s="8" t="s">
        <v>197</v>
      </c>
      <c r="E7" s="8" t="str">
        <f t="shared" si="0"/>
        <v>ZAMBRANO ZAMBRANO CLEYTON ELIECEROTRAS CATEGORIAS</v>
      </c>
      <c r="F7" s="28">
        <v>10</v>
      </c>
      <c r="G7" s="28">
        <v>10</v>
      </c>
      <c r="H7" s="28">
        <v>10</v>
      </c>
      <c r="I7" s="34">
        <f t="shared" si="1"/>
        <v>30</v>
      </c>
      <c r="J7" s="29"/>
      <c r="K7" s="30">
        <f t="shared" si="2"/>
        <v>0</v>
      </c>
      <c r="L7" s="31">
        <f t="shared" si="3"/>
        <v>0</v>
      </c>
      <c r="M7" s="32">
        <v>79</v>
      </c>
      <c r="N7" s="32"/>
      <c r="O7" s="32">
        <v>39</v>
      </c>
      <c r="P7" s="81">
        <v>0</v>
      </c>
      <c r="Q7" s="10">
        <f t="shared" si="4"/>
        <v>118</v>
      </c>
      <c r="R7" s="33">
        <f t="shared" si="5"/>
        <v>3.9333333333333331</v>
      </c>
      <c r="S7" s="33" t="str">
        <f t="shared" si="6"/>
        <v>GANA</v>
      </c>
      <c r="T7" s="33" t="str">
        <f>VLOOKUP(B7,'CUOTA TOTAL'!$B$4:$F$72,5,FALSE)</f>
        <v>GANA</v>
      </c>
      <c r="U7" s="31">
        <f t="shared" si="7"/>
        <v>0</v>
      </c>
      <c r="V7" s="31">
        <f t="shared" si="8"/>
        <v>0</v>
      </c>
    </row>
    <row r="8" spans="1:25" ht="14.45">
      <c r="A8" s="7" t="s">
        <v>5</v>
      </c>
      <c r="B8" s="51" t="s">
        <v>24</v>
      </c>
      <c r="C8" s="9" t="s">
        <v>135</v>
      </c>
      <c r="D8" s="8" t="s">
        <v>165</v>
      </c>
      <c r="E8" s="8" t="str">
        <f t="shared" si="0"/>
        <v>ZAMBRANO VALENCIA MARGARITABARRA</v>
      </c>
      <c r="F8" s="28">
        <v>2152.88</v>
      </c>
      <c r="G8" s="28">
        <v>2152.88</v>
      </c>
      <c r="H8" s="28">
        <v>2152.88</v>
      </c>
      <c r="I8" s="34">
        <f t="shared" si="1"/>
        <v>6458.64</v>
      </c>
      <c r="J8" s="29">
        <v>1.4999999999999999E-2</v>
      </c>
      <c r="K8" s="30">
        <f t="shared" si="2"/>
        <v>96.879599999999996</v>
      </c>
      <c r="L8" s="31">
        <f t="shared" si="3"/>
        <v>106.56756000000001</v>
      </c>
      <c r="M8" s="32">
        <v>0</v>
      </c>
      <c r="N8" s="32">
        <v>5250.5104000000001</v>
      </c>
      <c r="O8" s="32">
        <v>0</v>
      </c>
      <c r="P8" s="81">
        <v>0</v>
      </c>
      <c r="Q8" s="10">
        <f t="shared" si="4"/>
        <v>5250.5104000000001</v>
      </c>
      <c r="R8" s="33">
        <f t="shared" si="5"/>
        <v>0.81294365377231115</v>
      </c>
      <c r="S8" s="33" t="str">
        <f t="shared" si="6"/>
        <v>GANA</v>
      </c>
      <c r="T8" s="33" t="str">
        <f>VLOOKUP(B8,'CUOTA TOTAL'!$B$4:$F$72,5,FALSE)</f>
        <v>NO GANA</v>
      </c>
      <c r="U8" s="31">
        <f t="shared" si="7"/>
        <v>0</v>
      </c>
      <c r="V8" s="31">
        <f t="shared" si="8"/>
        <v>0</v>
      </c>
    </row>
    <row r="9" spans="1:25" ht="14.45">
      <c r="A9" s="7" t="s">
        <v>5</v>
      </c>
      <c r="B9" s="51" t="s">
        <v>24</v>
      </c>
      <c r="C9" s="9" t="s">
        <v>135</v>
      </c>
      <c r="D9" s="8" t="s">
        <v>193</v>
      </c>
      <c r="E9" s="8" t="str">
        <f t="shared" si="0"/>
        <v>ZAMBRANO VALENCIA MARGARITACREMA</v>
      </c>
      <c r="F9" s="28">
        <v>2051</v>
      </c>
      <c r="G9" s="28">
        <v>2051</v>
      </c>
      <c r="H9" s="28">
        <v>2051</v>
      </c>
      <c r="I9" s="34">
        <f t="shared" si="1"/>
        <v>6153</v>
      </c>
      <c r="J9" s="29">
        <v>3.5000000000000003E-2</v>
      </c>
      <c r="K9" s="30">
        <f t="shared" si="2"/>
        <v>215.35500000000002</v>
      </c>
      <c r="L9" s="31">
        <f t="shared" si="3"/>
        <v>236.89050000000003</v>
      </c>
      <c r="M9" s="32">
        <v>0</v>
      </c>
      <c r="N9" s="32">
        <v>1473.0101999999999</v>
      </c>
      <c r="O9" s="32">
        <v>0</v>
      </c>
      <c r="P9" s="81">
        <v>0</v>
      </c>
      <c r="Q9" s="10">
        <f t="shared" si="4"/>
        <v>1473.0101999999999</v>
      </c>
      <c r="R9" s="33">
        <f t="shared" si="5"/>
        <v>0.23939707459775719</v>
      </c>
      <c r="S9" s="33" t="str">
        <f t="shared" si="6"/>
        <v>NO GANA</v>
      </c>
      <c r="T9" s="33" t="str">
        <f>VLOOKUP(B9,'CUOTA TOTAL'!$B$4:$F$72,5,FALSE)</f>
        <v>NO GANA</v>
      </c>
      <c r="U9" s="31">
        <f t="shared" si="7"/>
        <v>0</v>
      </c>
      <c r="V9" s="31">
        <f t="shared" si="8"/>
        <v>0</v>
      </c>
    </row>
    <row r="10" spans="1:25" ht="14.45">
      <c r="A10" s="7" t="s">
        <v>5</v>
      </c>
      <c r="B10" s="51" t="s">
        <v>24</v>
      </c>
      <c r="C10" s="9" t="s">
        <v>135</v>
      </c>
      <c r="D10" s="8" t="s">
        <v>194</v>
      </c>
      <c r="E10" s="8" t="str">
        <f t="shared" si="0"/>
        <v>ZAMBRANO VALENCIA MARGARITALIQUIDO</v>
      </c>
      <c r="F10" s="28">
        <v>643</v>
      </c>
      <c r="G10" s="28">
        <v>643</v>
      </c>
      <c r="H10" s="28">
        <v>643</v>
      </c>
      <c r="I10" s="56">
        <f t="shared" si="1"/>
        <v>1929</v>
      </c>
      <c r="J10" s="29">
        <v>1.4999999999999999E-2</v>
      </c>
      <c r="K10" s="30">
        <f t="shared" si="2"/>
        <v>28.934999999999999</v>
      </c>
      <c r="L10" s="31">
        <f t="shared" si="3"/>
        <v>31.828500000000002</v>
      </c>
      <c r="M10" s="32">
        <v>0</v>
      </c>
      <c r="N10" s="32">
        <v>561.08480000000009</v>
      </c>
      <c r="O10" s="32">
        <v>0</v>
      </c>
      <c r="P10" s="81">
        <v>0</v>
      </c>
      <c r="Q10" s="10">
        <f t="shared" si="4"/>
        <v>561.08480000000009</v>
      </c>
      <c r="R10" s="33">
        <f t="shared" si="5"/>
        <v>0.29086822187662004</v>
      </c>
      <c r="S10" s="33" t="str">
        <f t="shared" si="6"/>
        <v>NO GANA</v>
      </c>
      <c r="T10" s="33" t="str">
        <f>VLOOKUP(B10,'CUOTA TOTAL'!$B$4:$F$72,5,FALSE)</f>
        <v>NO GANA</v>
      </c>
      <c r="U10" s="31">
        <f t="shared" si="7"/>
        <v>0</v>
      </c>
      <c r="V10" s="31">
        <f t="shared" si="8"/>
        <v>0</v>
      </c>
    </row>
    <row r="11" spans="1:25" ht="14.45">
      <c r="A11" s="7" t="s">
        <v>5</v>
      </c>
      <c r="B11" s="51" t="s">
        <v>24</v>
      </c>
      <c r="C11" s="9" t="s">
        <v>135</v>
      </c>
      <c r="D11" s="8" t="s">
        <v>196</v>
      </c>
      <c r="E11" s="8" t="str">
        <f t="shared" si="0"/>
        <v>ZAMBRANO VALENCIA MARGARITAPOLVO DETERGENTE</v>
      </c>
      <c r="F11" s="28">
        <v>3480</v>
      </c>
      <c r="G11" s="28">
        <v>3480</v>
      </c>
      <c r="H11" s="28">
        <v>3480</v>
      </c>
      <c r="I11" s="34">
        <f t="shared" si="1"/>
        <v>10440</v>
      </c>
      <c r="J11" s="29">
        <v>4.4999999999999998E-2</v>
      </c>
      <c r="K11" s="30">
        <f t="shared" si="2"/>
        <v>469.79999999999995</v>
      </c>
      <c r="L11" s="31">
        <f t="shared" si="3"/>
        <v>516.78000000000009</v>
      </c>
      <c r="M11" s="32">
        <v>0</v>
      </c>
      <c r="N11" s="32">
        <v>2638.0383999999999</v>
      </c>
      <c r="O11" s="32">
        <v>0</v>
      </c>
      <c r="P11" s="81">
        <v>0</v>
      </c>
      <c r="Q11" s="10">
        <f t="shared" si="4"/>
        <v>2638.0383999999999</v>
      </c>
      <c r="R11" s="33">
        <f t="shared" si="5"/>
        <v>0.25268567049808427</v>
      </c>
      <c r="S11" s="33" t="str">
        <f t="shared" si="6"/>
        <v>NO GANA</v>
      </c>
      <c r="T11" s="33" t="str">
        <f>VLOOKUP(B11,'CUOTA TOTAL'!$B$4:$F$72,5,FALSE)</f>
        <v>NO GANA</v>
      </c>
      <c r="U11" s="31">
        <f t="shared" si="7"/>
        <v>0</v>
      </c>
      <c r="V11" s="31">
        <f t="shared" si="8"/>
        <v>0</v>
      </c>
    </row>
    <row r="12" spans="1:25" ht="14.45">
      <c r="A12" s="7" t="s">
        <v>5</v>
      </c>
      <c r="B12" s="51" t="s">
        <v>24</v>
      </c>
      <c r="C12" s="9" t="s">
        <v>135</v>
      </c>
      <c r="D12" s="8" t="s">
        <v>197</v>
      </c>
      <c r="E12" s="8" t="str">
        <f t="shared" si="0"/>
        <v>ZAMBRANO VALENCIA MARGARITAOTRAS CATEGORIAS</v>
      </c>
      <c r="F12" s="28">
        <v>30</v>
      </c>
      <c r="G12" s="28">
        <v>30</v>
      </c>
      <c r="H12" s="28">
        <v>30</v>
      </c>
      <c r="I12" s="34">
        <f t="shared" si="1"/>
        <v>90</v>
      </c>
      <c r="J12" s="29"/>
      <c r="K12" s="30">
        <f t="shared" si="2"/>
        <v>0</v>
      </c>
      <c r="L12" s="31">
        <f t="shared" si="3"/>
        <v>0</v>
      </c>
      <c r="M12" s="32">
        <v>0</v>
      </c>
      <c r="N12" s="32">
        <v>0</v>
      </c>
      <c r="O12" s="32">
        <v>0</v>
      </c>
      <c r="P12" s="81">
        <v>0</v>
      </c>
      <c r="Q12" s="10">
        <f t="shared" si="4"/>
        <v>0</v>
      </c>
      <c r="R12" s="33">
        <f t="shared" si="5"/>
        <v>0</v>
      </c>
      <c r="S12" s="33" t="str">
        <f t="shared" si="6"/>
        <v>NO GANA</v>
      </c>
      <c r="T12" s="33" t="str">
        <f>VLOOKUP(B12,'CUOTA TOTAL'!$B$4:$F$72,5,FALSE)</f>
        <v>NO GANA</v>
      </c>
      <c r="U12" s="31">
        <f t="shared" si="7"/>
        <v>0</v>
      </c>
      <c r="V12" s="31">
        <f t="shared" si="8"/>
        <v>0</v>
      </c>
    </row>
    <row r="13" spans="1:25" ht="14.45">
      <c r="A13" s="7" t="s">
        <v>5</v>
      </c>
      <c r="B13" s="51" t="s">
        <v>23</v>
      </c>
      <c r="C13" s="9" t="s">
        <v>135</v>
      </c>
      <c r="D13" s="8" t="s">
        <v>165</v>
      </c>
      <c r="E13" s="8" t="str">
        <f t="shared" si="0"/>
        <v>ZAMBRANO MOLINA JORGE EDUARDOBARRA</v>
      </c>
      <c r="F13" s="28">
        <v>556</v>
      </c>
      <c r="G13" s="28">
        <v>556</v>
      </c>
      <c r="H13" s="28">
        <v>556</v>
      </c>
      <c r="I13" s="34">
        <f t="shared" si="1"/>
        <v>1668</v>
      </c>
      <c r="J13" s="29">
        <v>1.4999999999999999E-2</v>
      </c>
      <c r="K13" s="30">
        <f t="shared" si="2"/>
        <v>25.02</v>
      </c>
      <c r="L13" s="31">
        <f t="shared" si="3"/>
        <v>27.522000000000002</v>
      </c>
      <c r="M13" s="32">
        <v>518.91200000000003</v>
      </c>
      <c r="N13" s="32">
        <v>515.44799999999998</v>
      </c>
      <c r="O13" s="32">
        <v>670.19799999999998</v>
      </c>
      <c r="P13" s="81">
        <v>0</v>
      </c>
      <c r="Q13" s="10">
        <f t="shared" si="4"/>
        <v>1704.558</v>
      </c>
      <c r="R13" s="33">
        <f t="shared" si="5"/>
        <v>1.0219172661870504</v>
      </c>
      <c r="S13" s="33" t="str">
        <f t="shared" si="6"/>
        <v>GANA</v>
      </c>
      <c r="T13" s="33" t="str">
        <f>VLOOKUP(B13,'CUOTA TOTAL'!$B$4:$F$72,5,FALSE)</f>
        <v>GANA</v>
      </c>
      <c r="U13" s="31">
        <f t="shared" si="7"/>
        <v>25.568369999999998</v>
      </c>
      <c r="V13" s="31">
        <f t="shared" si="8"/>
        <v>25.568369999999998</v>
      </c>
    </row>
    <row r="14" spans="1:25" ht="14.45">
      <c r="A14" s="7" t="s">
        <v>5</v>
      </c>
      <c r="B14" s="51" t="s">
        <v>23</v>
      </c>
      <c r="C14" s="9" t="s">
        <v>135</v>
      </c>
      <c r="D14" s="8" t="s">
        <v>193</v>
      </c>
      <c r="E14" s="8" t="str">
        <f t="shared" si="0"/>
        <v>ZAMBRANO MOLINA JORGE EDUARDOCREMA</v>
      </c>
      <c r="F14" s="28">
        <v>1315.43</v>
      </c>
      <c r="G14" s="28">
        <v>1315.43</v>
      </c>
      <c r="H14" s="28">
        <v>1315.43</v>
      </c>
      <c r="I14" s="34">
        <f t="shared" si="1"/>
        <v>3946.29</v>
      </c>
      <c r="J14" s="29">
        <v>3.5000000000000003E-2</v>
      </c>
      <c r="K14" s="30">
        <f t="shared" si="2"/>
        <v>138.12015000000002</v>
      </c>
      <c r="L14" s="31">
        <f t="shared" si="3"/>
        <v>151.932165</v>
      </c>
      <c r="M14" s="32">
        <v>369.41640000000007</v>
      </c>
      <c r="N14" s="32">
        <v>2220.4902000000002</v>
      </c>
      <c r="O14" s="32">
        <v>1741.0482000000002</v>
      </c>
      <c r="P14" s="81">
        <v>0</v>
      </c>
      <c r="Q14" s="10">
        <f t="shared" si="4"/>
        <v>4330.9548000000004</v>
      </c>
      <c r="R14" s="33">
        <f t="shared" si="5"/>
        <v>1.0974750461826173</v>
      </c>
      <c r="S14" s="33" t="str">
        <f t="shared" si="6"/>
        <v>GANA</v>
      </c>
      <c r="T14" s="33" t="str">
        <f>VLOOKUP(B14,'CUOTA TOTAL'!$B$4:$F$72,5,FALSE)</f>
        <v>GANA</v>
      </c>
      <c r="U14" s="31">
        <f t="shared" si="7"/>
        <v>151.58341800000002</v>
      </c>
      <c r="V14" s="31">
        <f t="shared" si="8"/>
        <v>151.58341800000002</v>
      </c>
    </row>
    <row r="15" spans="1:25" ht="14.45">
      <c r="A15" s="7" t="s">
        <v>5</v>
      </c>
      <c r="B15" s="51" t="s">
        <v>23</v>
      </c>
      <c r="C15" s="9" t="s">
        <v>135</v>
      </c>
      <c r="D15" s="8" t="s">
        <v>194</v>
      </c>
      <c r="E15" s="8" t="str">
        <f t="shared" si="0"/>
        <v>ZAMBRANO MOLINA JORGE EDUARDOLIQUIDO</v>
      </c>
      <c r="F15" s="28">
        <v>430</v>
      </c>
      <c r="G15" s="28">
        <v>430</v>
      </c>
      <c r="H15" s="28">
        <v>430</v>
      </c>
      <c r="I15" s="34">
        <f t="shared" si="1"/>
        <v>1290</v>
      </c>
      <c r="J15" s="29">
        <v>1.4999999999999999E-2</v>
      </c>
      <c r="K15" s="30">
        <f t="shared" si="2"/>
        <v>19.349999999999998</v>
      </c>
      <c r="L15" s="31">
        <f t="shared" si="3"/>
        <v>21.285000000000004</v>
      </c>
      <c r="M15" s="32">
        <v>487.08000000000004</v>
      </c>
      <c r="N15" s="32">
        <v>716.79840000000002</v>
      </c>
      <c r="O15" s="32">
        <v>175.96319999999997</v>
      </c>
      <c r="P15" s="81">
        <v>0</v>
      </c>
      <c r="Q15" s="10">
        <f t="shared" si="4"/>
        <v>1379.8416</v>
      </c>
      <c r="R15" s="33">
        <f t="shared" si="5"/>
        <v>1.0696446511627906</v>
      </c>
      <c r="S15" s="33" t="str">
        <f t="shared" si="6"/>
        <v>GANA</v>
      </c>
      <c r="T15" s="33" t="str">
        <f>VLOOKUP(B15,'CUOTA TOTAL'!$B$4:$F$72,5,FALSE)</f>
        <v>GANA</v>
      </c>
      <c r="U15" s="31">
        <f t="shared" si="7"/>
        <v>20.697623999999998</v>
      </c>
      <c r="V15" s="31">
        <f t="shared" si="8"/>
        <v>20.697623999999998</v>
      </c>
    </row>
    <row r="16" spans="1:25" ht="14.45">
      <c r="A16" s="7" t="s">
        <v>5</v>
      </c>
      <c r="B16" s="51" t="s">
        <v>23</v>
      </c>
      <c r="C16" s="9" t="s">
        <v>135</v>
      </c>
      <c r="D16" s="8" t="s">
        <v>196</v>
      </c>
      <c r="E16" s="8" t="str">
        <f t="shared" si="0"/>
        <v>ZAMBRANO MOLINA JORGE EDUARDOPOLVO DETERGENTE</v>
      </c>
      <c r="F16" s="28">
        <v>1112</v>
      </c>
      <c r="G16" s="28">
        <v>1112</v>
      </c>
      <c r="H16" s="28">
        <v>1112</v>
      </c>
      <c r="I16" s="34">
        <f t="shared" si="1"/>
        <v>3336</v>
      </c>
      <c r="J16" s="29">
        <v>4.4999999999999998E-2</v>
      </c>
      <c r="K16" s="30">
        <f t="shared" si="2"/>
        <v>150.12</v>
      </c>
      <c r="L16" s="31">
        <f t="shared" si="3"/>
        <v>165.13200000000001</v>
      </c>
      <c r="M16" s="32">
        <v>0</v>
      </c>
      <c r="N16" s="32">
        <v>984.23599999999999</v>
      </c>
      <c r="O16" s="32">
        <v>2344.4312</v>
      </c>
      <c r="P16" s="81">
        <v>0</v>
      </c>
      <c r="Q16" s="10">
        <f t="shared" si="4"/>
        <v>3328.6671999999999</v>
      </c>
      <c r="R16" s="33">
        <f t="shared" si="5"/>
        <v>0.99780191846522781</v>
      </c>
      <c r="S16" s="33" t="str">
        <f t="shared" si="6"/>
        <v>GANA</v>
      </c>
      <c r="T16" s="33" t="str">
        <f>VLOOKUP(B16,'CUOTA TOTAL'!$B$4:$F$72,5,FALSE)</f>
        <v>GANA</v>
      </c>
      <c r="U16" s="31">
        <f t="shared" si="7"/>
        <v>149.79002399999999</v>
      </c>
      <c r="V16" s="31">
        <f t="shared" si="8"/>
        <v>149.79002399999999</v>
      </c>
    </row>
    <row r="17" spans="1:25" ht="14.45">
      <c r="A17" s="7" t="s">
        <v>5</v>
      </c>
      <c r="B17" s="51" t="s">
        <v>23</v>
      </c>
      <c r="C17" s="9" t="s">
        <v>135</v>
      </c>
      <c r="D17" s="8" t="s">
        <v>197</v>
      </c>
      <c r="E17" s="8" t="str">
        <f t="shared" si="0"/>
        <v>ZAMBRANO MOLINA JORGE EDUARDOOTRAS CATEGORIAS</v>
      </c>
      <c r="F17" s="28">
        <v>10</v>
      </c>
      <c r="G17" s="28">
        <v>10</v>
      </c>
      <c r="H17" s="28">
        <v>10</v>
      </c>
      <c r="I17" s="34">
        <f t="shared" si="1"/>
        <v>30</v>
      </c>
      <c r="J17" s="29"/>
      <c r="K17" s="30">
        <f t="shared" si="2"/>
        <v>0</v>
      </c>
      <c r="L17" s="31">
        <f t="shared" si="3"/>
        <v>0</v>
      </c>
      <c r="M17" s="32"/>
      <c r="N17" s="32"/>
      <c r="O17" s="32">
        <v>12</v>
      </c>
      <c r="P17" s="81">
        <v>0</v>
      </c>
      <c r="Q17" s="10">
        <f t="shared" si="4"/>
        <v>12</v>
      </c>
      <c r="R17" s="33">
        <f t="shared" si="5"/>
        <v>0.4</v>
      </c>
      <c r="S17" s="33" t="str">
        <f t="shared" si="6"/>
        <v>NO GANA</v>
      </c>
      <c r="T17" s="33" t="str">
        <f>VLOOKUP(B17,'CUOTA TOTAL'!$B$4:$F$72,5,FALSE)</f>
        <v>GANA</v>
      </c>
      <c r="U17" s="31">
        <f t="shared" si="7"/>
        <v>0</v>
      </c>
      <c r="V17" s="31">
        <f t="shared" si="8"/>
        <v>0</v>
      </c>
    </row>
    <row r="18" spans="1:25" ht="14.45">
      <c r="A18" s="7" t="s">
        <v>5</v>
      </c>
      <c r="B18" s="51" t="s">
        <v>22</v>
      </c>
      <c r="C18" s="9" t="s">
        <v>135</v>
      </c>
      <c r="D18" s="8" t="s">
        <v>165</v>
      </c>
      <c r="E18" s="8" t="str">
        <f t="shared" si="0"/>
        <v>ZAMBRANO MACIAS FRANCISCO GREGORIOBARRA</v>
      </c>
      <c r="F18" s="28">
        <v>1500</v>
      </c>
      <c r="G18" s="28">
        <v>1500</v>
      </c>
      <c r="H18" s="28">
        <v>1500</v>
      </c>
      <c r="I18" s="34">
        <f t="shared" si="1"/>
        <v>4500</v>
      </c>
      <c r="J18" s="29">
        <v>1.4999999999999999E-2</v>
      </c>
      <c r="K18" s="30">
        <f t="shared" si="2"/>
        <v>67.5</v>
      </c>
      <c r="L18" s="31">
        <f t="shared" si="3"/>
        <v>74.25</v>
      </c>
      <c r="M18" s="32">
        <v>280.8</v>
      </c>
      <c r="N18" s="32">
        <v>1261.5295999999998</v>
      </c>
      <c r="O18" s="32">
        <v>3486.2112000000002</v>
      </c>
      <c r="P18" s="81">
        <v>0</v>
      </c>
      <c r="Q18" s="10">
        <f t="shared" si="4"/>
        <v>5028.5407999999998</v>
      </c>
      <c r="R18" s="33">
        <f t="shared" si="5"/>
        <v>1.117453511111111</v>
      </c>
      <c r="S18" s="33" t="str">
        <f t="shared" si="6"/>
        <v>GANA</v>
      </c>
      <c r="T18" s="33" t="str">
        <f>VLOOKUP(B18,'CUOTA TOTAL'!$B$4:$F$72,5,FALSE)</f>
        <v>GANA</v>
      </c>
      <c r="U18" s="31">
        <f t="shared" si="7"/>
        <v>75.428111999999999</v>
      </c>
      <c r="V18" s="31">
        <f t="shared" si="8"/>
        <v>74.25</v>
      </c>
    </row>
    <row r="19" spans="1:25" ht="14.45">
      <c r="A19" s="7" t="s">
        <v>5</v>
      </c>
      <c r="B19" s="51" t="s">
        <v>22</v>
      </c>
      <c r="C19" s="9" t="s">
        <v>135</v>
      </c>
      <c r="D19" s="8" t="s">
        <v>193</v>
      </c>
      <c r="E19" s="8" t="str">
        <f t="shared" si="0"/>
        <v>ZAMBRANO MACIAS FRANCISCO GREGORIOCREMA</v>
      </c>
      <c r="F19" s="28">
        <v>2497.64</v>
      </c>
      <c r="G19" s="28">
        <v>2497.64</v>
      </c>
      <c r="H19" s="28">
        <v>2497.64</v>
      </c>
      <c r="I19" s="34">
        <f t="shared" si="1"/>
        <v>7492.92</v>
      </c>
      <c r="J19" s="29">
        <v>3.5000000000000003E-2</v>
      </c>
      <c r="K19" s="30">
        <f t="shared" si="2"/>
        <v>262.25220000000002</v>
      </c>
      <c r="L19" s="31">
        <f t="shared" si="3"/>
        <v>288.47742000000005</v>
      </c>
      <c r="M19" s="32">
        <v>0</v>
      </c>
      <c r="N19" s="32">
        <v>2807.5824000000002</v>
      </c>
      <c r="O19" s="32">
        <v>4784.3952000000008</v>
      </c>
      <c r="P19" s="81">
        <v>0</v>
      </c>
      <c r="Q19" s="10">
        <f t="shared" si="4"/>
        <v>7591.9776000000011</v>
      </c>
      <c r="R19" s="33">
        <f t="shared" si="5"/>
        <v>1.0132201598308805</v>
      </c>
      <c r="S19" s="33" t="str">
        <f t="shared" si="6"/>
        <v>GANA</v>
      </c>
      <c r="T19" s="33" t="str">
        <f>VLOOKUP(B19,'CUOTA TOTAL'!$B$4:$F$72,5,FALSE)</f>
        <v>GANA</v>
      </c>
      <c r="U19" s="31">
        <f t="shared" si="7"/>
        <v>265.71921600000007</v>
      </c>
      <c r="V19" s="31">
        <f t="shared" si="8"/>
        <v>265.71921600000007</v>
      </c>
    </row>
    <row r="20" spans="1:25" ht="14.45">
      <c r="A20" s="7" t="s">
        <v>5</v>
      </c>
      <c r="B20" s="51" t="s">
        <v>22</v>
      </c>
      <c r="C20" s="9" t="s">
        <v>135</v>
      </c>
      <c r="D20" s="8" t="s">
        <v>194</v>
      </c>
      <c r="E20" s="8" t="str">
        <f t="shared" si="0"/>
        <v>ZAMBRANO MACIAS FRANCISCO GREGORIOLIQUIDO</v>
      </c>
      <c r="F20" s="28">
        <v>442</v>
      </c>
      <c r="G20" s="28">
        <v>442</v>
      </c>
      <c r="H20" s="28">
        <v>442</v>
      </c>
      <c r="I20" s="34">
        <f t="shared" si="1"/>
        <v>1326</v>
      </c>
      <c r="J20" s="29">
        <v>1.4999999999999999E-2</v>
      </c>
      <c r="K20" s="30">
        <f t="shared" si="2"/>
        <v>19.89</v>
      </c>
      <c r="L20" s="31">
        <f t="shared" si="3"/>
        <v>21.879000000000001</v>
      </c>
      <c r="M20" s="32">
        <v>0</v>
      </c>
      <c r="N20" s="32">
        <v>478.875</v>
      </c>
      <c r="O20" s="32">
        <v>476.39819999999997</v>
      </c>
      <c r="P20" s="81">
        <v>0</v>
      </c>
      <c r="Q20" s="10">
        <f t="shared" si="4"/>
        <v>955.27319999999997</v>
      </c>
      <c r="R20" s="33">
        <f t="shared" si="5"/>
        <v>0.72041719457013575</v>
      </c>
      <c r="S20" s="33" t="str">
        <f t="shared" si="6"/>
        <v>NO GANA</v>
      </c>
      <c r="T20" s="33" t="str">
        <f>VLOOKUP(B20,'CUOTA TOTAL'!$B$4:$F$72,5,FALSE)</f>
        <v>GANA</v>
      </c>
      <c r="U20" s="31">
        <f t="shared" si="7"/>
        <v>0</v>
      </c>
      <c r="V20" s="31">
        <f t="shared" si="8"/>
        <v>0</v>
      </c>
    </row>
    <row r="21" spans="1:25" ht="14.45">
      <c r="A21" s="7" t="s">
        <v>5</v>
      </c>
      <c r="B21" s="51" t="s">
        <v>22</v>
      </c>
      <c r="C21" s="9" t="s">
        <v>135</v>
      </c>
      <c r="D21" s="8" t="s">
        <v>196</v>
      </c>
      <c r="E21" s="8" t="str">
        <f t="shared" si="0"/>
        <v>ZAMBRANO MACIAS FRANCISCO GREGORIOPOLVO DETERGENTE</v>
      </c>
      <c r="F21" s="28">
        <v>4700</v>
      </c>
      <c r="G21" s="28">
        <v>4700</v>
      </c>
      <c r="H21" s="28">
        <v>4700</v>
      </c>
      <c r="I21" s="34">
        <f t="shared" si="1"/>
        <v>14100</v>
      </c>
      <c r="J21" s="29">
        <v>4.4999999999999998E-2</v>
      </c>
      <c r="K21" s="30">
        <f t="shared" si="2"/>
        <v>634.5</v>
      </c>
      <c r="L21" s="31">
        <f t="shared" si="3"/>
        <v>697.95</v>
      </c>
      <c r="M21" s="32">
        <v>0</v>
      </c>
      <c r="N21" s="32">
        <v>4295.4720000000007</v>
      </c>
      <c r="O21" s="32">
        <v>9994.5199999999986</v>
      </c>
      <c r="P21" s="81">
        <v>0</v>
      </c>
      <c r="Q21" s="10">
        <f t="shared" si="4"/>
        <v>14289.991999999998</v>
      </c>
      <c r="R21" s="33">
        <f t="shared" si="5"/>
        <v>1.0134746099290779</v>
      </c>
      <c r="S21" s="33" t="str">
        <f t="shared" si="6"/>
        <v>GANA</v>
      </c>
      <c r="T21" s="33" t="str">
        <f>VLOOKUP(B21,'CUOTA TOTAL'!$B$4:$F$72,5,FALSE)</f>
        <v>GANA</v>
      </c>
      <c r="U21" s="31">
        <f t="shared" si="7"/>
        <v>643.04963999999995</v>
      </c>
      <c r="V21" s="31">
        <f t="shared" si="8"/>
        <v>643.04963999999995</v>
      </c>
    </row>
    <row r="22" spans="1:25" ht="14.45">
      <c r="A22" s="7" t="s">
        <v>5</v>
      </c>
      <c r="B22" s="51" t="s">
        <v>22</v>
      </c>
      <c r="C22" s="9" t="s">
        <v>135</v>
      </c>
      <c r="D22" s="8" t="s">
        <v>197</v>
      </c>
      <c r="E22" s="8" t="str">
        <f t="shared" si="0"/>
        <v>ZAMBRANO MACIAS FRANCISCO GREGORIOOTRAS CATEGORIAS</v>
      </c>
      <c r="F22" s="28">
        <v>20</v>
      </c>
      <c r="G22" s="28">
        <v>20</v>
      </c>
      <c r="H22" s="28">
        <v>20</v>
      </c>
      <c r="I22" s="34">
        <f t="shared" si="1"/>
        <v>60</v>
      </c>
      <c r="J22" s="29"/>
      <c r="K22" s="30">
        <f t="shared" si="2"/>
        <v>0</v>
      </c>
      <c r="L22" s="31">
        <f t="shared" si="3"/>
        <v>0</v>
      </c>
      <c r="M22" s="32">
        <v>0</v>
      </c>
      <c r="N22" s="32">
        <v>0</v>
      </c>
      <c r="O22" s="32">
        <v>0</v>
      </c>
      <c r="P22" s="81">
        <v>0</v>
      </c>
      <c r="Q22" s="10">
        <f t="shared" si="4"/>
        <v>0</v>
      </c>
      <c r="R22" s="33">
        <f t="shared" si="5"/>
        <v>0</v>
      </c>
      <c r="S22" s="33" t="str">
        <f t="shared" si="6"/>
        <v>NO GANA</v>
      </c>
      <c r="T22" s="33" t="str">
        <f>VLOOKUP(B22,'CUOTA TOTAL'!$B$4:$F$72,5,FALSE)</f>
        <v>GANA</v>
      </c>
      <c r="U22" s="31">
        <f t="shared" si="7"/>
        <v>0</v>
      </c>
      <c r="V22" s="31">
        <f t="shared" si="8"/>
        <v>0</v>
      </c>
    </row>
    <row r="23" spans="1:25" ht="14.45">
      <c r="A23" s="7" t="s">
        <v>109</v>
      </c>
      <c r="B23" s="51" t="s">
        <v>32</v>
      </c>
      <c r="C23" s="9" t="s">
        <v>135</v>
      </c>
      <c r="D23" s="8" t="s">
        <v>165</v>
      </c>
      <c r="E23" s="8" t="str">
        <f t="shared" si="0"/>
        <v>YUCAILLA PADILLA RENE WILFRIDOBARRA</v>
      </c>
      <c r="F23" s="34">
        <v>15</v>
      </c>
      <c r="G23" s="34">
        <v>15</v>
      </c>
      <c r="H23" s="34">
        <v>15</v>
      </c>
      <c r="I23" s="34">
        <f t="shared" si="1"/>
        <v>45</v>
      </c>
      <c r="J23" s="29">
        <v>1.4999999999999999E-2</v>
      </c>
      <c r="K23" s="30">
        <f t="shared" si="2"/>
        <v>0.67499999999999993</v>
      </c>
      <c r="L23" s="31">
        <f t="shared" si="3"/>
        <v>0.74250000000000005</v>
      </c>
      <c r="M23" s="32">
        <v>0</v>
      </c>
      <c r="N23" s="32">
        <v>0</v>
      </c>
      <c r="O23" s="32">
        <v>0</v>
      </c>
      <c r="P23" s="82">
        <v>0</v>
      </c>
      <c r="Q23" s="10">
        <f t="shared" si="4"/>
        <v>0</v>
      </c>
      <c r="R23" s="33">
        <f t="shared" si="5"/>
        <v>0</v>
      </c>
      <c r="S23" s="33" t="str">
        <f t="shared" si="6"/>
        <v>NO GANA</v>
      </c>
      <c r="T23" s="33" t="str">
        <f>VLOOKUP(B23,'CUOTA TOTAL'!$B$4:$F$72,5,FALSE)</f>
        <v>GANA</v>
      </c>
      <c r="U23" s="31">
        <f t="shared" si="7"/>
        <v>0</v>
      </c>
      <c r="V23" s="31">
        <f t="shared" si="8"/>
        <v>0</v>
      </c>
    </row>
    <row r="24" spans="1:25" ht="14.45">
      <c r="A24" s="7" t="s">
        <v>109</v>
      </c>
      <c r="B24" s="51" t="s">
        <v>32</v>
      </c>
      <c r="C24" s="9" t="s">
        <v>135</v>
      </c>
      <c r="D24" s="8" t="s">
        <v>193</v>
      </c>
      <c r="E24" s="8" t="str">
        <f t="shared" si="0"/>
        <v>YUCAILLA PADILLA RENE WILFRIDOCREMA</v>
      </c>
      <c r="F24" s="28">
        <v>1611</v>
      </c>
      <c r="G24" s="28">
        <v>1611</v>
      </c>
      <c r="H24" s="28">
        <v>1611</v>
      </c>
      <c r="I24" s="34">
        <f t="shared" si="1"/>
        <v>4833</v>
      </c>
      <c r="J24" s="29">
        <v>0.04</v>
      </c>
      <c r="K24" s="30">
        <f>+I24*J24</f>
        <v>193.32</v>
      </c>
      <c r="L24" s="31">
        <f>(I24*1.1)*J24</f>
        <v>212.65200000000002</v>
      </c>
      <c r="M24" s="32">
        <v>0</v>
      </c>
      <c r="N24" s="32">
        <v>0</v>
      </c>
      <c r="O24" s="32">
        <v>5238.8112000000001</v>
      </c>
      <c r="P24" s="82">
        <v>0</v>
      </c>
      <c r="Q24" s="10">
        <f t="shared" si="4"/>
        <v>5238.8112000000001</v>
      </c>
      <c r="R24" s="33">
        <f t="shared" si="5"/>
        <v>1.0839667287399131</v>
      </c>
      <c r="S24" s="33" t="str">
        <f t="shared" si="6"/>
        <v>GANA</v>
      </c>
      <c r="T24" s="33" t="str">
        <f>VLOOKUP(B24,'CUOTA TOTAL'!$B$4:$F$72,5,FALSE)</f>
        <v>GANA</v>
      </c>
      <c r="U24" s="31">
        <f t="shared" si="7"/>
        <v>209.552448</v>
      </c>
      <c r="V24" s="31">
        <f t="shared" si="8"/>
        <v>209.552448</v>
      </c>
    </row>
    <row r="25" spans="1:25" ht="14.45">
      <c r="A25" s="7" t="s">
        <v>109</v>
      </c>
      <c r="B25" s="51" t="s">
        <v>32</v>
      </c>
      <c r="C25" s="9" t="s">
        <v>135</v>
      </c>
      <c r="D25" s="8" t="s">
        <v>194</v>
      </c>
      <c r="E25" s="8" t="str">
        <f t="shared" si="0"/>
        <v>YUCAILLA PADILLA RENE WILFRIDOLIQUIDO</v>
      </c>
      <c r="F25" s="28">
        <v>15</v>
      </c>
      <c r="G25" s="28">
        <v>15</v>
      </c>
      <c r="H25" s="28">
        <v>15</v>
      </c>
      <c r="I25" s="34">
        <f t="shared" si="1"/>
        <v>45</v>
      </c>
      <c r="J25" s="29">
        <v>1.4999999999999999E-2</v>
      </c>
      <c r="K25" s="30">
        <f>+I25*J25</f>
        <v>0.67499999999999993</v>
      </c>
      <c r="L25" s="31">
        <f>(I25*1.1)*J25</f>
        <v>0.74250000000000005</v>
      </c>
      <c r="M25" s="32">
        <v>0</v>
      </c>
      <c r="N25" s="32">
        <v>0</v>
      </c>
      <c r="O25" s="32">
        <v>259.77600000000001</v>
      </c>
      <c r="P25" s="82">
        <v>0</v>
      </c>
      <c r="Q25" s="10">
        <f t="shared" si="4"/>
        <v>259.77600000000001</v>
      </c>
      <c r="R25" s="33">
        <f t="shared" si="5"/>
        <v>5.7728000000000002</v>
      </c>
      <c r="S25" s="33" t="str">
        <f t="shared" si="6"/>
        <v>GANA</v>
      </c>
      <c r="T25" s="33" t="str">
        <f>VLOOKUP(B25,'CUOTA TOTAL'!$B$4:$F$72,5,FALSE)</f>
        <v>GANA</v>
      </c>
      <c r="U25" s="31">
        <f t="shared" si="7"/>
        <v>3.8966400000000001</v>
      </c>
      <c r="V25" s="31">
        <f t="shared" si="8"/>
        <v>0.74250000000000005</v>
      </c>
    </row>
    <row r="26" spans="1:25" ht="14.45">
      <c r="A26" s="7" t="s">
        <v>109</v>
      </c>
      <c r="B26" s="51" t="s">
        <v>32</v>
      </c>
      <c r="C26" s="9" t="s">
        <v>135</v>
      </c>
      <c r="D26" s="8" t="s">
        <v>196</v>
      </c>
      <c r="E26" s="8" t="str">
        <f t="shared" si="0"/>
        <v>YUCAILLA PADILLA RENE WILFRIDOPOLVO DETERGENTE</v>
      </c>
      <c r="F26" s="34">
        <v>427</v>
      </c>
      <c r="G26" s="34">
        <v>427</v>
      </c>
      <c r="H26" s="34">
        <v>427</v>
      </c>
      <c r="I26" s="34">
        <f t="shared" si="1"/>
        <v>1281</v>
      </c>
      <c r="J26" s="29">
        <v>0.04</v>
      </c>
      <c r="K26" s="30">
        <f>+I26*J26</f>
        <v>51.24</v>
      </c>
      <c r="L26" s="31">
        <f>(I26*1.1)*J26</f>
        <v>56.364000000000004</v>
      </c>
      <c r="M26" s="32">
        <v>0</v>
      </c>
      <c r="N26" s="32">
        <v>0</v>
      </c>
      <c r="O26" s="32">
        <v>1674.0864000000001</v>
      </c>
      <c r="P26" s="82">
        <v>0</v>
      </c>
      <c r="Q26" s="10">
        <f t="shared" si="4"/>
        <v>1674.0864000000001</v>
      </c>
      <c r="R26" s="33">
        <f t="shared" si="5"/>
        <v>1.3068590163934428</v>
      </c>
      <c r="S26" s="33" t="str">
        <f t="shared" si="6"/>
        <v>GANA</v>
      </c>
      <c r="T26" s="33" t="str">
        <f>VLOOKUP(B26,'CUOTA TOTAL'!$B$4:$F$72,5,FALSE)</f>
        <v>GANA</v>
      </c>
      <c r="U26" s="31">
        <f t="shared" si="7"/>
        <v>66.963456000000008</v>
      </c>
      <c r="V26" s="31">
        <f t="shared" si="8"/>
        <v>56.364000000000004</v>
      </c>
    </row>
    <row r="27" spans="1:25" ht="14.45">
      <c r="A27" s="7" t="s">
        <v>109</v>
      </c>
      <c r="B27" s="51" t="s">
        <v>32</v>
      </c>
      <c r="C27" s="9" t="s">
        <v>135</v>
      </c>
      <c r="D27" s="8" t="s">
        <v>197</v>
      </c>
      <c r="E27" s="8" t="str">
        <f t="shared" si="0"/>
        <v>YUCAILLA PADILLA RENE WILFRIDOOTRAS CATEGORIAS</v>
      </c>
      <c r="F27" s="28"/>
      <c r="G27" s="28"/>
      <c r="H27" s="28"/>
      <c r="I27" s="34">
        <f t="shared" si="1"/>
        <v>0</v>
      </c>
      <c r="J27" s="29"/>
      <c r="K27" s="30">
        <f>+I27*J27</f>
        <v>0</v>
      </c>
      <c r="L27" s="31">
        <f>(I27*1.1)*J27</f>
        <v>0</v>
      </c>
      <c r="M27" s="32">
        <v>0</v>
      </c>
      <c r="N27" s="32">
        <v>0</v>
      </c>
      <c r="O27" s="32">
        <v>0</v>
      </c>
      <c r="P27" s="82">
        <v>0</v>
      </c>
      <c r="Q27" s="10">
        <f t="shared" si="4"/>
        <v>0</v>
      </c>
      <c r="R27" s="33">
        <v>0</v>
      </c>
      <c r="S27" s="33" t="str">
        <f t="shared" si="6"/>
        <v>NO GANA</v>
      </c>
      <c r="T27" s="33" t="str">
        <f>VLOOKUP(B27,'CUOTA TOTAL'!$B$4:$F$72,5,FALSE)</f>
        <v>GANA</v>
      </c>
      <c r="U27" s="31">
        <f t="shared" si="7"/>
        <v>0</v>
      </c>
      <c r="V27" s="31">
        <f t="shared" si="8"/>
        <v>0</v>
      </c>
    </row>
    <row r="28" spans="1:25" ht="14.45">
      <c r="A28" s="7" t="s">
        <v>49</v>
      </c>
      <c r="B28" s="51" t="s">
        <v>120</v>
      </c>
      <c r="C28" s="9" t="s">
        <v>163</v>
      </c>
      <c r="D28" s="8" t="s">
        <v>165</v>
      </c>
      <c r="E28" s="8" t="str">
        <f t="shared" si="0"/>
        <v>YANEZ CARDENAS ESTELA ELIZABETHBARRA</v>
      </c>
      <c r="F28" s="28">
        <v>3585</v>
      </c>
      <c r="G28" s="28">
        <v>3585</v>
      </c>
      <c r="H28" s="28">
        <v>3585</v>
      </c>
      <c r="I28" s="34">
        <f t="shared" si="1"/>
        <v>10755</v>
      </c>
      <c r="J28" s="29">
        <v>1.4999999999999999E-2</v>
      </c>
      <c r="K28" s="30">
        <f t="shared" si="2"/>
        <v>161.32499999999999</v>
      </c>
      <c r="L28" s="31">
        <f t="shared" si="3"/>
        <v>177.45750000000001</v>
      </c>
      <c r="M28" s="32">
        <v>1196.4287999999999</v>
      </c>
      <c r="N28" s="32">
        <v>0</v>
      </c>
      <c r="O28" s="32">
        <v>0</v>
      </c>
      <c r="P28" s="81">
        <v>0</v>
      </c>
      <c r="Q28" s="10">
        <f t="shared" si="4"/>
        <v>1196.4287999999999</v>
      </c>
      <c r="R28" s="33">
        <f t="shared" si="5"/>
        <v>0.11124396094839609</v>
      </c>
      <c r="S28" s="33" t="str">
        <f t="shared" si="6"/>
        <v>NO GANA</v>
      </c>
      <c r="T28" s="33" t="str">
        <f>VLOOKUP(B28,'CUOTA TOTAL'!$B$4:$F$72,5,FALSE)</f>
        <v>GANA</v>
      </c>
      <c r="U28" s="31">
        <f t="shared" si="7"/>
        <v>0</v>
      </c>
      <c r="V28" s="31">
        <f t="shared" si="8"/>
        <v>0</v>
      </c>
      <c r="Y28" s="35"/>
    </row>
    <row r="29" spans="1:25" ht="14.45">
      <c r="A29" s="7" t="s">
        <v>49</v>
      </c>
      <c r="B29" s="51" t="s">
        <v>120</v>
      </c>
      <c r="C29" s="9" t="s">
        <v>163</v>
      </c>
      <c r="D29" s="8" t="s">
        <v>193</v>
      </c>
      <c r="E29" s="8" t="str">
        <f t="shared" si="0"/>
        <v>YANEZ CARDENAS ESTELA ELIZABETHCREMA</v>
      </c>
      <c r="F29" s="28">
        <v>637</v>
      </c>
      <c r="G29" s="28">
        <v>637</v>
      </c>
      <c r="H29" s="28">
        <v>637</v>
      </c>
      <c r="I29" s="34">
        <f t="shared" si="1"/>
        <v>1911</v>
      </c>
      <c r="J29" s="29">
        <v>1.4999999999999999E-2</v>
      </c>
      <c r="K29" s="30">
        <f t="shared" si="2"/>
        <v>28.664999999999999</v>
      </c>
      <c r="L29" s="31">
        <f t="shared" si="3"/>
        <v>31.531500000000005</v>
      </c>
      <c r="M29" s="32">
        <v>0</v>
      </c>
      <c r="N29" s="32">
        <v>0</v>
      </c>
      <c r="O29" s="32">
        <v>0</v>
      </c>
      <c r="P29" s="81">
        <v>0</v>
      </c>
      <c r="Q29" s="10">
        <f t="shared" si="4"/>
        <v>0</v>
      </c>
      <c r="R29" s="33">
        <f t="shared" si="5"/>
        <v>0</v>
      </c>
      <c r="S29" s="33" t="str">
        <f t="shared" si="6"/>
        <v>NO GANA</v>
      </c>
      <c r="T29" s="33" t="str">
        <f>VLOOKUP(B29,'CUOTA TOTAL'!$B$4:$F$72,5,FALSE)</f>
        <v>GANA</v>
      </c>
      <c r="U29" s="31">
        <f t="shared" si="7"/>
        <v>0</v>
      </c>
      <c r="V29" s="31">
        <f t="shared" si="8"/>
        <v>0</v>
      </c>
      <c r="Y29" s="35"/>
    </row>
    <row r="30" spans="1:25" ht="14.45">
      <c r="A30" s="7" t="s">
        <v>49</v>
      </c>
      <c r="B30" s="51" t="s">
        <v>120</v>
      </c>
      <c r="C30" s="9" t="s">
        <v>163</v>
      </c>
      <c r="D30" s="8" t="s">
        <v>194</v>
      </c>
      <c r="E30" s="8" t="str">
        <f t="shared" si="0"/>
        <v>YANEZ CARDENAS ESTELA ELIZABETHLIQUIDO</v>
      </c>
      <c r="F30" s="28">
        <v>500</v>
      </c>
      <c r="G30" s="28">
        <v>500</v>
      </c>
      <c r="H30" s="28">
        <v>500</v>
      </c>
      <c r="I30" s="34">
        <f t="shared" si="1"/>
        <v>1500</v>
      </c>
      <c r="J30" s="29">
        <v>1.4999999999999999E-2</v>
      </c>
      <c r="K30" s="30">
        <f t="shared" si="2"/>
        <v>22.5</v>
      </c>
      <c r="L30" s="31">
        <f t="shared" si="3"/>
        <v>24.750000000000004</v>
      </c>
      <c r="M30" s="32">
        <v>0</v>
      </c>
      <c r="N30" s="32">
        <v>0</v>
      </c>
      <c r="O30" s="32">
        <v>0</v>
      </c>
      <c r="P30" s="81">
        <v>0</v>
      </c>
      <c r="Q30" s="10">
        <f t="shared" si="4"/>
        <v>0</v>
      </c>
      <c r="R30" s="33">
        <f t="shared" si="5"/>
        <v>0</v>
      </c>
      <c r="S30" s="33" t="str">
        <f t="shared" si="6"/>
        <v>NO GANA</v>
      </c>
      <c r="T30" s="33" t="str">
        <f>VLOOKUP(B30,'CUOTA TOTAL'!$B$4:$F$72,5,FALSE)</f>
        <v>GANA</v>
      </c>
      <c r="U30" s="31">
        <f t="shared" si="7"/>
        <v>0</v>
      </c>
      <c r="V30" s="31">
        <f t="shared" si="8"/>
        <v>0</v>
      </c>
      <c r="Y30" s="35"/>
    </row>
    <row r="31" spans="1:25" ht="14.45">
      <c r="A31" s="7" t="s">
        <v>49</v>
      </c>
      <c r="B31" s="51" t="s">
        <v>120</v>
      </c>
      <c r="C31" s="9" t="s">
        <v>163</v>
      </c>
      <c r="D31" s="8" t="s">
        <v>196</v>
      </c>
      <c r="E31" s="8" t="str">
        <f t="shared" si="0"/>
        <v>YANEZ CARDENAS ESTELA ELIZABETHPOLVO DETERGENTE</v>
      </c>
      <c r="F31" s="28">
        <v>5493</v>
      </c>
      <c r="G31" s="28">
        <v>5493</v>
      </c>
      <c r="H31" s="28">
        <v>5493</v>
      </c>
      <c r="I31" s="34">
        <f t="shared" si="1"/>
        <v>16479</v>
      </c>
      <c r="J31" s="29">
        <v>1.4999999999999999E-2</v>
      </c>
      <c r="K31" s="30">
        <f t="shared" si="2"/>
        <v>247.185</v>
      </c>
      <c r="L31" s="31">
        <f t="shared" si="3"/>
        <v>271.90350000000001</v>
      </c>
      <c r="M31" s="32">
        <v>8161.1711999999998</v>
      </c>
      <c r="N31" s="32">
        <v>0</v>
      </c>
      <c r="O31" s="32">
        <v>26157.600000000002</v>
      </c>
      <c r="P31" s="81">
        <v>0</v>
      </c>
      <c r="Q31" s="10">
        <f t="shared" si="4"/>
        <v>34318.771200000003</v>
      </c>
      <c r="R31" s="33">
        <f t="shared" si="5"/>
        <v>2.0825760786455492</v>
      </c>
      <c r="S31" s="33" t="str">
        <f t="shared" si="6"/>
        <v>GANA</v>
      </c>
      <c r="T31" s="33" t="str">
        <f>VLOOKUP(B31,'CUOTA TOTAL'!$B$4:$F$72,5,FALSE)</f>
        <v>GANA</v>
      </c>
      <c r="U31" s="31">
        <f t="shared" si="7"/>
        <v>514.78156799999999</v>
      </c>
      <c r="V31" s="31">
        <f t="shared" si="8"/>
        <v>271.90350000000001</v>
      </c>
      <c r="Y31" s="35"/>
    </row>
    <row r="32" spans="1:25" ht="14.45">
      <c r="A32" s="7" t="s">
        <v>49</v>
      </c>
      <c r="B32" s="51" t="s">
        <v>120</v>
      </c>
      <c r="C32" s="9" t="s">
        <v>163</v>
      </c>
      <c r="D32" s="8" t="s">
        <v>197</v>
      </c>
      <c r="E32" s="8" t="str">
        <f t="shared" si="0"/>
        <v>YANEZ CARDENAS ESTELA ELIZABETHOTRAS CATEGORIAS</v>
      </c>
      <c r="F32" s="28">
        <v>60</v>
      </c>
      <c r="G32" s="28">
        <v>60</v>
      </c>
      <c r="H32" s="28">
        <v>60</v>
      </c>
      <c r="I32" s="34">
        <f t="shared" si="1"/>
        <v>180</v>
      </c>
      <c r="J32" s="69">
        <v>1.4999999999999999E-2</v>
      </c>
      <c r="K32" s="30">
        <f t="shared" si="2"/>
        <v>2.6999999999999997</v>
      </c>
      <c r="L32" s="31">
        <f t="shared" si="3"/>
        <v>2.97</v>
      </c>
      <c r="M32" s="32">
        <v>0</v>
      </c>
      <c r="N32" s="32">
        <v>0</v>
      </c>
      <c r="O32" s="32">
        <v>0</v>
      </c>
      <c r="P32" s="81">
        <v>0</v>
      </c>
      <c r="Q32" s="10">
        <f t="shared" si="4"/>
        <v>0</v>
      </c>
      <c r="R32" s="33">
        <f t="shared" si="5"/>
        <v>0</v>
      </c>
      <c r="S32" s="33" t="str">
        <f t="shared" si="6"/>
        <v>NO GANA</v>
      </c>
      <c r="T32" s="33" t="str">
        <f>VLOOKUP(B32,'CUOTA TOTAL'!$B$4:$F$72,5,FALSE)</f>
        <v>GANA</v>
      </c>
      <c r="U32" s="31">
        <f t="shared" si="7"/>
        <v>0</v>
      </c>
      <c r="V32" s="31">
        <f t="shared" si="8"/>
        <v>0</v>
      </c>
      <c r="Y32" s="35"/>
    </row>
    <row r="33" spans="1:25" ht="14.45">
      <c r="A33" s="7" t="s">
        <v>49</v>
      </c>
      <c r="B33" s="51" t="s">
        <v>69</v>
      </c>
      <c r="C33" s="9" t="s">
        <v>163</v>
      </c>
      <c r="D33" s="8" t="s">
        <v>165</v>
      </c>
      <c r="E33" s="8" t="str">
        <f t="shared" si="0"/>
        <v>YAGUACHI QUISHPI MARIA ELVIRABARRA</v>
      </c>
      <c r="F33" s="28">
        <v>4600</v>
      </c>
      <c r="G33" s="28">
        <v>4600</v>
      </c>
      <c r="H33" s="28">
        <v>4600</v>
      </c>
      <c r="I33" s="34">
        <f t="shared" si="1"/>
        <v>13800</v>
      </c>
      <c r="J33" s="29">
        <v>1.4999999999999999E-2</v>
      </c>
      <c r="K33" s="30">
        <f t="shared" si="2"/>
        <v>207</v>
      </c>
      <c r="L33" s="31">
        <f t="shared" si="3"/>
        <v>227.70000000000002</v>
      </c>
      <c r="M33" s="32">
        <v>0</v>
      </c>
      <c r="N33" s="32">
        <v>3556.8</v>
      </c>
      <c r="O33" s="32">
        <v>0</v>
      </c>
      <c r="P33" s="81">
        <v>0</v>
      </c>
      <c r="Q33" s="10">
        <f t="shared" si="4"/>
        <v>3556.8</v>
      </c>
      <c r="R33" s="33">
        <f t="shared" si="5"/>
        <v>0.25773913043478264</v>
      </c>
      <c r="S33" s="33" t="str">
        <f t="shared" si="6"/>
        <v>NO GANA</v>
      </c>
      <c r="T33" s="33" t="str">
        <f>VLOOKUP(B33,'CUOTA TOTAL'!$B$4:$F$72,5,FALSE)</f>
        <v>NO GANA</v>
      </c>
      <c r="U33" s="31">
        <f t="shared" si="7"/>
        <v>0</v>
      </c>
      <c r="V33" s="31">
        <f t="shared" si="8"/>
        <v>0</v>
      </c>
      <c r="Y33" s="35"/>
    </row>
    <row r="34" spans="1:25" ht="14.45">
      <c r="A34" s="7" t="s">
        <v>49</v>
      </c>
      <c r="B34" s="51" t="s">
        <v>69</v>
      </c>
      <c r="C34" s="9" t="s">
        <v>163</v>
      </c>
      <c r="D34" s="8" t="s">
        <v>193</v>
      </c>
      <c r="E34" s="8" t="str">
        <f t="shared" si="0"/>
        <v>YAGUACHI QUISHPI MARIA ELVIRACREMA</v>
      </c>
      <c r="F34" s="28">
        <v>1025</v>
      </c>
      <c r="G34" s="28">
        <v>1025</v>
      </c>
      <c r="H34" s="28">
        <v>1025</v>
      </c>
      <c r="I34" s="34">
        <f t="shared" si="1"/>
        <v>3075</v>
      </c>
      <c r="J34" s="29">
        <v>1.4999999999999999E-2</v>
      </c>
      <c r="K34" s="30">
        <f t="shared" si="2"/>
        <v>46.125</v>
      </c>
      <c r="L34" s="31">
        <f t="shared" si="3"/>
        <v>50.737500000000004</v>
      </c>
      <c r="M34" s="32">
        <v>0</v>
      </c>
      <c r="N34" s="32">
        <v>433.92</v>
      </c>
      <c r="O34" s="32">
        <v>0</v>
      </c>
      <c r="P34" s="81">
        <v>0</v>
      </c>
      <c r="Q34" s="10">
        <f t="shared" si="4"/>
        <v>433.92</v>
      </c>
      <c r="R34" s="33">
        <f t="shared" si="5"/>
        <v>0.14111219512195122</v>
      </c>
      <c r="S34" s="33" t="str">
        <f t="shared" si="6"/>
        <v>NO GANA</v>
      </c>
      <c r="T34" s="33" t="str">
        <f>VLOOKUP(B34,'CUOTA TOTAL'!$B$4:$F$72,5,FALSE)</f>
        <v>NO GANA</v>
      </c>
      <c r="U34" s="31">
        <f t="shared" si="7"/>
        <v>0</v>
      </c>
      <c r="V34" s="31">
        <f t="shared" si="8"/>
        <v>0</v>
      </c>
      <c r="Y34" s="35"/>
    </row>
    <row r="35" spans="1:25" ht="14.45">
      <c r="A35" s="7" t="s">
        <v>49</v>
      </c>
      <c r="B35" s="51" t="s">
        <v>69</v>
      </c>
      <c r="C35" s="9" t="s">
        <v>163</v>
      </c>
      <c r="D35" s="8" t="s">
        <v>194</v>
      </c>
      <c r="E35" s="8" t="str">
        <f t="shared" si="0"/>
        <v>YAGUACHI QUISHPI MARIA ELVIRALIQUIDO</v>
      </c>
      <c r="F35" s="28">
        <v>250</v>
      </c>
      <c r="G35" s="28">
        <v>250</v>
      </c>
      <c r="H35" s="28">
        <v>250</v>
      </c>
      <c r="I35" s="34">
        <f t="shared" si="1"/>
        <v>750</v>
      </c>
      <c r="J35" s="29">
        <v>1.4999999999999999E-2</v>
      </c>
      <c r="K35" s="30">
        <f t="shared" si="2"/>
        <v>11.25</v>
      </c>
      <c r="L35" s="31">
        <f t="shared" si="3"/>
        <v>12.375000000000002</v>
      </c>
      <c r="M35" s="32">
        <v>0</v>
      </c>
      <c r="N35" s="32">
        <v>0</v>
      </c>
      <c r="O35" s="32">
        <v>0</v>
      </c>
      <c r="P35" s="81">
        <v>0</v>
      </c>
      <c r="Q35" s="10">
        <f t="shared" si="4"/>
        <v>0</v>
      </c>
      <c r="R35" s="33">
        <f t="shared" si="5"/>
        <v>0</v>
      </c>
      <c r="S35" s="33" t="str">
        <f t="shared" si="6"/>
        <v>NO GANA</v>
      </c>
      <c r="T35" s="33" t="str">
        <f>VLOOKUP(B35,'CUOTA TOTAL'!$B$4:$F$72,5,FALSE)</f>
        <v>NO GANA</v>
      </c>
      <c r="U35" s="31">
        <f t="shared" si="7"/>
        <v>0</v>
      </c>
      <c r="V35" s="31">
        <f t="shared" si="8"/>
        <v>0</v>
      </c>
      <c r="Y35" s="35"/>
    </row>
    <row r="36" spans="1:25" ht="14.45">
      <c r="A36" s="7" t="s">
        <v>49</v>
      </c>
      <c r="B36" s="51" t="s">
        <v>69</v>
      </c>
      <c r="C36" s="9" t="s">
        <v>163</v>
      </c>
      <c r="D36" s="8" t="s">
        <v>196</v>
      </c>
      <c r="E36" s="8" t="str">
        <f t="shared" si="0"/>
        <v>YAGUACHI QUISHPI MARIA ELVIRAPOLVO DETERGENTE</v>
      </c>
      <c r="F36" s="28">
        <v>6400</v>
      </c>
      <c r="G36" s="28">
        <v>6400</v>
      </c>
      <c r="H36" s="28">
        <v>6400</v>
      </c>
      <c r="I36" s="34">
        <f t="shared" si="1"/>
        <v>19200</v>
      </c>
      <c r="J36" s="29">
        <v>1.4999999999999999E-2</v>
      </c>
      <c r="K36" s="30">
        <f t="shared" si="2"/>
        <v>288</v>
      </c>
      <c r="L36" s="31">
        <f t="shared" si="3"/>
        <v>316.8</v>
      </c>
      <c r="M36" s="32">
        <v>0</v>
      </c>
      <c r="N36" s="32">
        <v>11180.816800000001</v>
      </c>
      <c r="O36" s="32">
        <v>0</v>
      </c>
      <c r="P36" s="81">
        <v>0</v>
      </c>
      <c r="Q36" s="10">
        <f t="shared" si="4"/>
        <v>11180.816800000001</v>
      </c>
      <c r="R36" s="33">
        <f t="shared" si="5"/>
        <v>0.58233420833333338</v>
      </c>
      <c r="S36" s="33" t="str">
        <f t="shared" si="6"/>
        <v>NO GANA</v>
      </c>
      <c r="T36" s="33" t="str">
        <f>VLOOKUP(B36,'CUOTA TOTAL'!$B$4:$F$72,5,FALSE)</f>
        <v>NO GANA</v>
      </c>
      <c r="U36" s="31">
        <f t="shared" si="7"/>
        <v>0</v>
      </c>
      <c r="V36" s="31">
        <f t="shared" si="8"/>
        <v>0</v>
      </c>
      <c r="Y36" s="35"/>
    </row>
    <row r="37" spans="1:25" ht="14.45">
      <c r="A37" s="7" t="s">
        <v>49</v>
      </c>
      <c r="B37" s="51" t="s">
        <v>69</v>
      </c>
      <c r="C37" s="9" t="s">
        <v>163</v>
      </c>
      <c r="D37" s="8" t="s">
        <v>197</v>
      </c>
      <c r="E37" s="8" t="str">
        <f t="shared" si="0"/>
        <v>YAGUACHI QUISHPI MARIA ELVIRAOTRAS CATEGORIAS</v>
      </c>
      <c r="F37" s="28">
        <v>60</v>
      </c>
      <c r="G37" s="28">
        <v>60</v>
      </c>
      <c r="H37" s="28">
        <v>60</v>
      </c>
      <c r="I37" s="34">
        <f t="shared" si="1"/>
        <v>180</v>
      </c>
      <c r="J37" s="69">
        <v>1.4999999999999999E-2</v>
      </c>
      <c r="K37" s="30">
        <f t="shared" si="2"/>
        <v>2.6999999999999997</v>
      </c>
      <c r="L37" s="31">
        <f t="shared" si="3"/>
        <v>2.97</v>
      </c>
      <c r="M37" s="32">
        <v>0</v>
      </c>
      <c r="N37" s="32">
        <v>0</v>
      </c>
      <c r="O37" s="32">
        <v>0</v>
      </c>
      <c r="P37" s="81">
        <v>0</v>
      </c>
      <c r="Q37" s="10">
        <f t="shared" si="4"/>
        <v>0</v>
      </c>
      <c r="R37" s="33">
        <f t="shared" si="5"/>
        <v>0</v>
      </c>
      <c r="S37" s="33" t="str">
        <f t="shared" si="6"/>
        <v>NO GANA</v>
      </c>
      <c r="T37" s="33" t="str">
        <f>VLOOKUP(B37,'CUOTA TOTAL'!$B$4:$F$72,5,FALSE)</f>
        <v>NO GANA</v>
      </c>
      <c r="U37" s="31">
        <f t="shared" si="7"/>
        <v>0</v>
      </c>
      <c r="V37" s="31">
        <f t="shared" si="8"/>
        <v>0</v>
      </c>
      <c r="Y37" s="35"/>
    </row>
    <row r="38" spans="1:25" ht="14.45">
      <c r="A38" s="7" t="s">
        <v>5</v>
      </c>
      <c r="B38" s="51" t="s">
        <v>21</v>
      </c>
      <c r="C38" s="9" t="s">
        <v>135</v>
      </c>
      <c r="D38" s="8" t="s">
        <v>165</v>
      </c>
      <c r="E38" s="8" t="str">
        <f t="shared" si="0"/>
        <v>WANG CHONG LONGBARRA</v>
      </c>
      <c r="F38" s="28">
        <v>953.36</v>
      </c>
      <c r="G38" s="28">
        <v>953.36</v>
      </c>
      <c r="H38" s="28">
        <v>953.36</v>
      </c>
      <c r="I38" s="34">
        <f t="shared" si="1"/>
        <v>2860.08</v>
      </c>
      <c r="J38" s="29">
        <v>1.4999999999999999E-2</v>
      </c>
      <c r="K38" s="30">
        <f t="shared" si="2"/>
        <v>42.901199999999996</v>
      </c>
      <c r="L38" s="31">
        <f t="shared" si="3"/>
        <v>47.191320000000005</v>
      </c>
      <c r="M38" s="32">
        <v>0</v>
      </c>
      <c r="N38" s="32">
        <v>0</v>
      </c>
      <c r="O38" s="32">
        <v>0</v>
      </c>
      <c r="P38" s="81">
        <v>0</v>
      </c>
      <c r="Q38" s="10">
        <f t="shared" si="4"/>
        <v>0</v>
      </c>
      <c r="R38" s="33">
        <f t="shared" si="5"/>
        <v>0</v>
      </c>
      <c r="S38" s="33" t="str">
        <f t="shared" si="6"/>
        <v>NO GANA</v>
      </c>
      <c r="T38" s="33" t="str">
        <f>VLOOKUP(B38,'CUOTA TOTAL'!$B$4:$F$72,5,FALSE)</f>
        <v>NO GANA</v>
      </c>
      <c r="U38" s="31">
        <f t="shared" si="7"/>
        <v>0</v>
      </c>
      <c r="V38" s="31">
        <f t="shared" si="8"/>
        <v>0</v>
      </c>
    </row>
    <row r="39" spans="1:25" ht="14.45">
      <c r="A39" s="7" t="s">
        <v>5</v>
      </c>
      <c r="B39" s="51" t="s">
        <v>21</v>
      </c>
      <c r="C39" s="9" t="s">
        <v>135</v>
      </c>
      <c r="D39" s="8" t="s">
        <v>193</v>
      </c>
      <c r="E39" s="8" t="str">
        <f t="shared" si="0"/>
        <v>WANG CHONG LONGCREMA</v>
      </c>
      <c r="F39" s="28">
        <v>1632.3400000000001</v>
      </c>
      <c r="G39" s="28">
        <v>1632.3400000000001</v>
      </c>
      <c r="H39" s="28">
        <v>1632.3400000000001</v>
      </c>
      <c r="I39" s="34">
        <f t="shared" si="1"/>
        <v>4897.0200000000004</v>
      </c>
      <c r="J39" s="29">
        <v>3.5000000000000003E-2</v>
      </c>
      <c r="K39" s="30">
        <f t="shared" si="2"/>
        <v>171.39570000000003</v>
      </c>
      <c r="L39" s="31">
        <f t="shared" si="3"/>
        <v>188.53527000000005</v>
      </c>
      <c r="M39" s="32">
        <v>2462.1888000000004</v>
      </c>
      <c r="N39" s="32">
        <v>1457.1791999999998</v>
      </c>
      <c r="O39" s="32">
        <v>0</v>
      </c>
      <c r="P39" s="81">
        <v>0</v>
      </c>
      <c r="Q39" s="10">
        <f t="shared" si="4"/>
        <v>3919.3680000000004</v>
      </c>
      <c r="R39" s="33">
        <f t="shared" si="5"/>
        <v>0.80035776860212948</v>
      </c>
      <c r="S39" s="33" t="str">
        <f t="shared" si="6"/>
        <v>GANA</v>
      </c>
      <c r="T39" s="33" t="str">
        <f>VLOOKUP(B39,'CUOTA TOTAL'!$B$4:$F$72,5,FALSE)</f>
        <v>NO GANA</v>
      </c>
      <c r="U39" s="31">
        <f t="shared" si="7"/>
        <v>0</v>
      </c>
      <c r="V39" s="31">
        <f t="shared" si="8"/>
        <v>0</v>
      </c>
    </row>
    <row r="40" spans="1:25" ht="14.45">
      <c r="A40" s="7" t="s">
        <v>5</v>
      </c>
      <c r="B40" s="51" t="s">
        <v>21</v>
      </c>
      <c r="C40" s="9" t="s">
        <v>135</v>
      </c>
      <c r="D40" s="8" t="s">
        <v>194</v>
      </c>
      <c r="E40" s="8" t="str">
        <f t="shared" si="0"/>
        <v>WANG CHONG LONGLIQUIDO</v>
      </c>
      <c r="F40" s="28">
        <v>374</v>
      </c>
      <c r="G40" s="28">
        <v>374</v>
      </c>
      <c r="H40" s="28">
        <v>374</v>
      </c>
      <c r="I40" s="34">
        <f t="shared" si="1"/>
        <v>1122</v>
      </c>
      <c r="J40" s="29">
        <v>1.4999999999999999E-2</v>
      </c>
      <c r="K40" s="30">
        <f t="shared" si="2"/>
        <v>16.829999999999998</v>
      </c>
      <c r="L40" s="31">
        <f t="shared" si="3"/>
        <v>18.513000000000002</v>
      </c>
      <c r="M40" s="32">
        <v>489.2448</v>
      </c>
      <c r="N40" s="32">
        <v>974.16</v>
      </c>
      <c r="O40" s="32">
        <v>471.39839999999998</v>
      </c>
      <c r="P40" s="81">
        <v>0</v>
      </c>
      <c r="Q40" s="10">
        <f t="shared" si="4"/>
        <v>1934.8032000000001</v>
      </c>
      <c r="R40" s="33">
        <f t="shared" si="5"/>
        <v>1.7244235294117647</v>
      </c>
      <c r="S40" s="33" t="str">
        <f t="shared" si="6"/>
        <v>GANA</v>
      </c>
      <c r="T40" s="33" t="str">
        <f>VLOOKUP(B40,'CUOTA TOTAL'!$B$4:$F$72,5,FALSE)</f>
        <v>NO GANA</v>
      </c>
      <c r="U40" s="31">
        <f t="shared" si="7"/>
        <v>0</v>
      </c>
      <c r="V40" s="31">
        <f t="shared" si="8"/>
        <v>0</v>
      </c>
    </row>
    <row r="41" spans="1:25" ht="14.45">
      <c r="A41" s="7" t="s">
        <v>5</v>
      </c>
      <c r="B41" s="51" t="s">
        <v>21</v>
      </c>
      <c r="C41" s="9" t="s">
        <v>135</v>
      </c>
      <c r="D41" s="8" t="s">
        <v>196</v>
      </c>
      <c r="E41" s="8" t="str">
        <f t="shared" si="0"/>
        <v>WANG CHONG LONGPOLVO DETERGENTE</v>
      </c>
      <c r="F41" s="28">
        <v>1764.9399999999998</v>
      </c>
      <c r="G41" s="28">
        <v>1764.9399999999998</v>
      </c>
      <c r="H41" s="28">
        <v>1764.9399999999998</v>
      </c>
      <c r="I41" s="34">
        <f t="shared" si="1"/>
        <v>5294.82</v>
      </c>
      <c r="J41" s="29">
        <v>4.4999999999999998E-2</v>
      </c>
      <c r="K41" s="30">
        <f t="shared" si="2"/>
        <v>238.26689999999996</v>
      </c>
      <c r="L41" s="31">
        <f t="shared" si="3"/>
        <v>262.09359000000001</v>
      </c>
      <c r="M41" s="32">
        <v>0</v>
      </c>
      <c r="N41" s="32">
        <v>2838.2560000000003</v>
      </c>
      <c r="O41" s="32">
        <v>0</v>
      </c>
      <c r="P41" s="81">
        <v>0</v>
      </c>
      <c r="Q41" s="10">
        <f t="shared" si="4"/>
        <v>2838.2560000000003</v>
      </c>
      <c r="R41" s="33">
        <f t="shared" si="5"/>
        <v>0.53604390706388516</v>
      </c>
      <c r="S41" s="33" t="str">
        <f t="shared" si="6"/>
        <v>NO GANA</v>
      </c>
      <c r="T41" s="33" t="str">
        <f>VLOOKUP(B41,'CUOTA TOTAL'!$B$4:$F$72,5,FALSE)</f>
        <v>NO GANA</v>
      </c>
      <c r="U41" s="31">
        <f t="shared" si="7"/>
        <v>0</v>
      </c>
      <c r="V41" s="31">
        <f t="shared" si="8"/>
        <v>0</v>
      </c>
    </row>
    <row r="42" spans="1:25" ht="14.45">
      <c r="A42" s="7" t="s">
        <v>5</v>
      </c>
      <c r="B42" s="51" t="s">
        <v>21</v>
      </c>
      <c r="C42" s="9" t="s">
        <v>135</v>
      </c>
      <c r="D42" s="8" t="s">
        <v>197</v>
      </c>
      <c r="E42" s="8" t="str">
        <f t="shared" si="0"/>
        <v>WANG CHONG LONGOTRAS CATEGORIAS</v>
      </c>
      <c r="F42" s="28">
        <v>20</v>
      </c>
      <c r="G42" s="28">
        <v>20</v>
      </c>
      <c r="H42" s="28">
        <v>20</v>
      </c>
      <c r="I42" s="34">
        <f t="shared" si="1"/>
        <v>60</v>
      </c>
      <c r="J42" s="29"/>
      <c r="K42" s="30">
        <f t="shared" si="2"/>
        <v>0</v>
      </c>
      <c r="L42" s="31">
        <f t="shared" si="3"/>
        <v>0</v>
      </c>
      <c r="M42" s="32">
        <v>0</v>
      </c>
      <c r="N42" s="32">
        <v>0</v>
      </c>
      <c r="O42" s="32">
        <v>0</v>
      </c>
      <c r="P42" s="81">
        <v>0</v>
      </c>
      <c r="Q42" s="10">
        <f t="shared" si="4"/>
        <v>0</v>
      </c>
      <c r="R42" s="33">
        <f t="shared" si="5"/>
        <v>0</v>
      </c>
      <c r="S42" s="33" t="str">
        <f t="shared" si="6"/>
        <v>NO GANA</v>
      </c>
      <c r="T42" s="33" t="str">
        <f>VLOOKUP(B42,'CUOTA TOTAL'!$B$4:$F$72,5,FALSE)</f>
        <v>NO GANA</v>
      </c>
      <c r="U42" s="31">
        <f t="shared" si="7"/>
        <v>0</v>
      </c>
      <c r="V42" s="31">
        <f t="shared" si="8"/>
        <v>0</v>
      </c>
    </row>
    <row r="43" spans="1:25" ht="14.45">
      <c r="A43" s="7" t="s">
        <v>5</v>
      </c>
      <c r="B43" s="51" t="s">
        <v>20</v>
      </c>
      <c r="C43" s="9" t="s">
        <v>135</v>
      </c>
      <c r="D43" s="8" t="s">
        <v>165</v>
      </c>
      <c r="E43" s="8" t="str">
        <f t="shared" si="0"/>
        <v>URETA MENDOZA YIMMY ANTONIOBARRA</v>
      </c>
      <c r="F43" s="28">
        <v>1450</v>
      </c>
      <c r="G43" s="28">
        <v>1450</v>
      </c>
      <c r="H43" s="28">
        <v>1450</v>
      </c>
      <c r="I43" s="34">
        <f t="shared" si="1"/>
        <v>4350</v>
      </c>
      <c r="J43" s="29">
        <v>1.4999999999999999E-2</v>
      </c>
      <c r="K43" s="30">
        <f t="shared" si="2"/>
        <v>65.25</v>
      </c>
      <c r="L43" s="31">
        <f t="shared" si="3"/>
        <v>71.774999999999991</v>
      </c>
      <c r="M43" s="32">
        <v>2547.1327999999999</v>
      </c>
      <c r="N43" s="32">
        <v>1293.4272000000001</v>
      </c>
      <c r="O43" s="32">
        <v>1666.8159999999998</v>
      </c>
      <c r="P43" s="81">
        <v>0</v>
      </c>
      <c r="Q43" s="10">
        <f t="shared" si="4"/>
        <v>5507.3760000000002</v>
      </c>
      <c r="R43" s="33">
        <f t="shared" si="5"/>
        <v>1.2660634482758621</v>
      </c>
      <c r="S43" s="33" t="str">
        <f t="shared" si="6"/>
        <v>GANA</v>
      </c>
      <c r="T43" s="33" t="str">
        <f>VLOOKUP(B43,'CUOTA TOTAL'!$B$4:$F$72,5,FALSE)</f>
        <v>GANA</v>
      </c>
      <c r="U43" s="31">
        <f t="shared" si="7"/>
        <v>82.610640000000004</v>
      </c>
      <c r="V43" s="31">
        <f t="shared" si="8"/>
        <v>71.774999999999991</v>
      </c>
    </row>
    <row r="44" spans="1:25" ht="14.45">
      <c r="A44" s="7" t="s">
        <v>5</v>
      </c>
      <c r="B44" s="51" t="s">
        <v>20</v>
      </c>
      <c r="C44" s="9" t="s">
        <v>135</v>
      </c>
      <c r="D44" s="8" t="s">
        <v>193</v>
      </c>
      <c r="E44" s="8" t="str">
        <f t="shared" si="0"/>
        <v>URETA MENDOZA YIMMY ANTONIOCREMA</v>
      </c>
      <c r="F44" s="28">
        <v>3000</v>
      </c>
      <c r="G44" s="28">
        <v>3000</v>
      </c>
      <c r="H44" s="28">
        <v>3000</v>
      </c>
      <c r="I44" s="34">
        <f t="shared" si="1"/>
        <v>9000</v>
      </c>
      <c r="J44" s="29">
        <v>3.5000000000000003E-2</v>
      </c>
      <c r="K44" s="30">
        <f t="shared" si="2"/>
        <v>315.00000000000006</v>
      </c>
      <c r="L44" s="31">
        <f t="shared" si="3"/>
        <v>346.50000000000006</v>
      </c>
      <c r="M44" s="32">
        <v>4323.4944000000005</v>
      </c>
      <c r="N44" s="32">
        <v>4974.3408000000018</v>
      </c>
      <c r="O44" s="32">
        <v>3227.2848000000004</v>
      </c>
      <c r="P44" s="81">
        <v>0</v>
      </c>
      <c r="Q44" s="10">
        <f t="shared" si="4"/>
        <v>12525.120000000003</v>
      </c>
      <c r="R44" s="33">
        <f t="shared" si="5"/>
        <v>1.3916800000000003</v>
      </c>
      <c r="S44" s="33" t="str">
        <f t="shared" si="6"/>
        <v>GANA</v>
      </c>
      <c r="T44" s="33" t="str">
        <f>VLOOKUP(B44,'CUOTA TOTAL'!$B$4:$F$72,5,FALSE)</f>
        <v>GANA</v>
      </c>
      <c r="U44" s="31">
        <f t="shared" si="7"/>
        <v>438.37920000000014</v>
      </c>
      <c r="V44" s="31">
        <f t="shared" si="8"/>
        <v>346.50000000000006</v>
      </c>
    </row>
    <row r="45" spans="1:25" ht="14.45">
      <c r="A45" s="7" t="s">
        <v>5</v>
      </c>
      <c r="B45" s="51" t="s">
        <v>20</v>
      </c>
      <c r="C45" s="9" t="s">
        <v>135</v>
      </c>
      <c r="D45" s="8" t="s">
        <v>194</v>
      </c>
      <c r="E45" s="8" t="str">
        <f t="shared" si="0"/>
        <v>URETA MENDOZA YIMMY ANTONIOLIQUIDO</v>
      </c>
      <c r="F45" s="28">
        <v>466</v>
      </c>
      <c r="G45" s="28">
        <v>466</v>
      </c>
      <c r="H45" s="28">
        <v>466</v>
      </c>
      <c r="I45" s="34">
        <f t="shared" si="1"/>
        <v>1398</v>
      </c>
      <c r="J45" s="29">
        <v>1.4999999999999999E-2</v>
      </c>
      <c r="K45" s="30">
        <f t="shared" si="2"/>
        <v>20.97</v>
      </c>
      <c r="L45" s="31">
        <f t="shared" si="3"/>
        <v>23.067</v>
      </c>
      <c r="M45" s="32">
        <v>1170.6336000000001</v>
      </c>
      <c r="N45" s="32">
        <v>487.08000000000004</v>
      </c>
      <c r="O45" s="32">
        <v>808.2</v>
      </c>
      <c r="P45" s="81">
        <v>0</v>
      </c>
      <c r="Q45" s="10">
        <f t="shared" si="4"/>
        <v>2465.9135999999999</v>
      </c>
      <c r="R45" s="33">
        <f t="shared" si="5"/>
        <v>1.7638866952789698</v>
      </c>
      <c r="S45" s="33" t="str">
        <f t="shared" si="6"/>
        <v>GANA</v>
      </c>
      <c r="T45" s="33" t="str">
        <f>VLOOKUP(B45,'CUOTA TOTAL'!$B$4:$F$72,5,FALSE)</f>
        <v>GANA</v>
      </c>
      <c r="U45" s="31">
        <f t="shared" si="7"/>
        <v>36.988703999999998</v>
      </c>
      <c r="V45" s="31">
        <f t="shared" si="8"/>
        <v>23.067</v>
      </c>
      <c r="W45" s="35"/>
    </row>
    <row r="46" spans="1:25" ht="14.45">
      <c r="A46" s="7" t="s">
        <v>5</v>
      </c>
      <c r="B46" s="51" t="s">
        <v>20</v>
      </c>
      <c r="C46" s="9" t="s">
        <v>135</v>
      </c>
      <c r="D46" s="8" t="s">
        <v>196</v>
      </c>
      <c r="E46" s="8" t="str">
        <f t="shared" si="0"/>
        <v>URETA MENDOZA YIMMY ANTONIOPOLVO DETERGENTE</v>
      </c>
      <c r="F46" s="28">
        <v>3000</v>
      </c>
      <c r="G46" s="28">
        <v>3000</v>
      </c>
      <c r="H46" s="28">
        <v>3000</v>
      </c>
      <c r="I46" s="34">
        <f t="shared" si="1"/>
        <v>9000</v>
      </c>
      <c r="J46" s="29">
        <v>4.4999999999999998E-2</v>
      </c>
      <c r="K46" s="30">
        <f t="shared" si="2"/>
        <v>405</v>
      </c>
      <c r="L46" s="31">
        <f t="shared" si="3"/>
        <v>445.5</v>
      </c>
      <c r="M46" s="32">
        <v>742.72000000000014</v>
      </c>
      <c r="N46" s="32">
        <v>3991.8464000000004</v>
      </c>
      <c r="O46" s="32">
        <v>3097.6704</v>
      </c>
      <c r="P46" s="81">
        <v>0</v>
      </c>
      <c r="Q46" s="10">
        <f t="shared" si="4"/>
        <v>7832.2368000000006</v>
      </c>
      <c r="R46" s="33">
        <f t="shared" si="5"/>
        <v>0.87024853333333341</v>
      </c>
      <c r="S46" s="33" t="str">
        <f t="shared" si="6"/>
        <v>GANA</v>
      </c>
      <c r="T46" s="33" t="str">
        <f>VLOOKUP(B46,'CUOTA TOTAL'!$B$4:$F$72,5,FALSE)</f>
        <v>GANA</v>
      </c>
      <c r="U46" s="31">
        <f t="shared" si="7"/>
        <v>352.45065600000004</v>
      </c>
      <c r="V46" s="31">
        <f t="shared" si="8"/>
        <v>352.45065600000004</v>
      </c>
      <c r="W46" s="35"/>
    </row>
    <row r="47" spans="1:25" ht="14.45">
      <c r="A47" s="7" t="s">
        <v>5</v>
      </c>
      <c r="B47" s="51" t="s">
        <v>20</v>
      </c>
      <c r="C47" s="9" t="s">
        <v>135</v>
      </c>
      <c r="D47" s="8" t="s">
        <v>197</v>
      </c>
      <c r="E47" s="8" t="str">
        <f t="shared" si="0"/>
        <v>URETA MENDOZA YIMMY ANTONIOOTRAS CATEGORIAS</v>
      </c>
      <c r="F47" s="28">
        <v>15</v>
      </c>
      <c r="G47" s="28">
        <v>15</v>
      </c>
      <c r="H47" s="28">
        <v>15</v>
      </c>
      <c r="I47" s="34">
        <f t="shared" si="1"/>
        <v>45</v>
      </c>
      <c r="J47" s="29"/>
      <c r="K47" s="30">
        <f t="shared" si="2"/>
        <v>0</v>
      </c>
      <c r="L47" s="31">
        <f t="shared" si="3"/>
        <v>0</v>
      </c>
      <c r="M47" s="32">
        <v>47.015999999999998</v>
      </c>
      <c r="N47" s="32">
        <v>0</v>
      </c>
      <c r="O47" s="32">
        <v>0</v>
      </c>
      <c r="P47" s="81">
        <v>0</v>
      </c>
      <c r="Q47" s="10">
        <f t="shared" si="4"/>
        <v>47.015999999999998</v>
      </c>
      <c r="R47" s="33">
        <f t="shared" si="5"/>
        <v>1.0448</v>
      </c>
      <c r="S47" s="33" t="str">
        <f t="shared" si="6"/>
        <v>GANA</v>
      </c>
      <c r="T47" s="33" t="str">
        <f>VLOOKUP(B47,'CUOTA TOTAL'!$B$4:$F$72,5,FALSE)</f>
        <v>GANA</v>
      </c>
      <c r="U47" s="31">
        <f t="shared" si="7"/>
        <v>0</v>
      </c>
      <c r="V47" s="31">
        <f t="shared" si="8"/>
        <v>0</v>
      </c>
    </row>
    <row r="48" spans="1:25" ht="14.45">
      <c r="A48" s="7" t="s">
        <v>5</v>
      </c>
      <c r="B48" s="51" t="s">
        <v>114</v>
      </c>
      <c r="C48" s="9" t="s">
        <v>135</v>
      </c>
      <c r="D48" s="8" t="s">
        <v>165</v>
      </c>
      <c r="E48" s="8" t="str">
        <f t="shared" si="0"/>
        <v>ROBERT - PONCE COMPANY S.A.SBARRA</v>
      </c>
      <c r="F48" s="28">
        <v>855.1</v>
      </c>
      <c r="G48" s="28">
        <v>855.1</v>
      </c>
      <c r="H48" s="28">
        <v>855.1</v>
      </c>
      <c r="I48" s="34">
        <f t="shared" si="1"/>
        <v>2565.3000000000002</v>
      </c>
      <c r="J48" s="29">
        <v>1.4999999999999999E-2</v>
      </c>
      <c r="K48" s="30">
        <f t="shared" si="2"/>
        <v>38.479500000000002</v>
      </c>
      <c r="L48" s="31">
        <f t="shared" si="3"/>
        <v>42.327450000000006</v>
      </c>
      <c r="M48" s="32">
        <v>0</v>
      </c>
      <c r="N48" s="32">
        <v>1560.0672000000002</v>
      </c>
      <c r="O48" s="32">
        <v>534.12</v>
      </c>
      <c r="P48" s="81">
        <v>0</v>
      </c>
      <c r="Q48" s="10">
        <f t="shared" si="4"/>
        <v>2094.1872000000003</v>
      </c>
      <c r="R48" s="33">
        <f t="shared" si="5"/>
        <v>0.81635177172260565</v>
      </c>
      <c r="S48" s="33" t="str">
        <f t="shared" si="6"/>
        <v>GANA</v>
      </c>
      <c r="T48" s="33" t="str">
        <f>VLOOKUP(B48,'CUOTA TOTAL'!$B$4:$F$72,5,FALSE)</f>
        <v>NO GANA</v>
      </c>
      <c r="U48" s="31">
        <f t="shared" si="7"/>
        <v>0</v>
      </c>
      <c r="V48" s="31">
        <f t="shared" si="8"/>
        <v>0</v>
      </c>
    </row>
    <row r="49" spans="1:22" ht="14.45">
      <c r="A49" s="7" t="s">
        <v>5</v>
      </c>
      <c r="B49" s="51" t="s">
        <v>114</v>
      </c>
      <c r="C49" s="9" t="s">
        <v>135</v>
      </c>
      <c r="D49" s="8" t="s">
        <v>193</v>
      </c>
      <c r="E49" s="8" t="str">
        <f t="shared" si="0"/>
        <v>ROBERT - PONCE COMPANY S.A.SCREMA</v>
      </c>
      <c r="F49" s="28">
        <v>1300</v>
      </c>
      <c r="G49" s="28">
        <v>1300</v>
      </c>
      <c r="H49" s="28">
        <v>1300</v>
      </c>
      <c r="I49" s="34">
        <f t="shared" si="1"/>
        <v>3900</v>
      </c>
      <c r="J49" s="29">
        <v>3.5000000000000003E-2</v>
      </c>
      <c r="K49" s="30">
        <f t="shared" si="2"/>
        <v>136.5</v>
      </c>
      <c r="L49" s="31">
        <f t="shared" si="3"/>
        <v>150.15</v>
      </c>
      <c r="M49" s="32">
        <v>0</v>
      </c>
      <c r="N49" s="32">
        <v>3371.1821999999997</v>
      </c>
      <c r="O49" s="32">
        <v>108.48</v>
      </c>
      <c r="P49" s="81">
        <v>0</v>
      </c>
      <c r="Q49" s="10">
        <f t="shared" si="4"/>
        <v>3479.6621999999998</v>
      </c>
      <c r="R49" s="33">
        <f t="shared" si="5"/>
        <v>0.89222107692307684</v>
      </c>
      <c r="S49" s="33" t="str">
        <f t="shared" si="6"/>
        <v>GANA</v>
      </c>
      <c r="T49" s="33" t="str">
        <f>VLOOKUP(B49,'CUOTA TOTAL'!$B$4:$F$72,5,FALSE)</f>
        <v>NO GANA</v>
      </c>
      <c r="U49" s="31">
        <f t="shared" si="7"/>
        <v>0</v>
      </c>
      <c r="V49" s="31">
        <f t="shared" si="8"/>
        <v>0</v>
      </c>
    </row>
    <row r="50" spans="1:22" ht="14.45">
      <c r="A50" s="7" t="s">
        <v>5</v>
      </c>
      <c r="B50" s="51" t="s">
        <v>114</v>
      </c>
      <c r="C50" s="9" t="s">
        <v>135</v>
      </c>
      <c r="D50" s="8" t="s">
        <v>194</v>
      </c>
      <c r="E50" s="8" t="str">
        <f t="shared" si="0"/>
        <v>ROBERT - PONCE COMPANY S.A.SLIQUIDO</v>
      </c>
      <c r="F50" s="28">
        <v>400</v>
      </c>
      <c r="G50" s="28">
        <v>400</v>
      </c>
      <c r="H50" s="28">
        <v>400</v>
      </c>
      <c r="I50" s="34">
        <f t="shared" si="1"/>
        <v>1200</v>
      </c>
      <c r="J50" s="29">
        <v>1.4999999999999999E-2</v>
      </c>
      <c r="K50" s="30">
        <f t="shared" si="2"/>
        <v>18</v>
      </c>
      <c r="L50" s="31">
        <f t="shared" si="3"/>
        <v>19.8</v>
      </c>
      <c r="M50" s="32">
        <v>0</v>
      </c>
      <c r="N50" s="32">
        <v>0</v>
      </c>
      <c r="O50" s="32">
        <v>649.44000000000005</v>
      </c>
      <c r="P50" s="81">
        <v>0</v>
      </c>
      <c r="Q50" s="10">
        <f t="shared" si="4"/>
        <v>649.44000000000005</v>
      </c>
      <c r="R50" s="33">
        <f t="shared" si="5"/>
        <v>0.54120000000000001</v>
      </c>
      <c r="S50" s="33" t="str">
        <f t="shared" si="6"/>
        <v>NO GANA</v>
      </c>
      <c r="T50" s="33" t="str">
        <f>VLOOKUP(B50,'CUOTA TOTAL'!$B$4:$F$72,5,FALSE)</f>
        <v>NO GANA</v>
      </c>
      <c r="U50" s="31">
        <f t="shared" si="7"/>
        <v>0</v>
      </c>
      <c r="V50" s="31">
        <f t="shared" si="8"/>
        <v>0</v>
      </c>
    </row>
    <row r="51" spans="1:22" ht="14.45">
      <c r="A51" s="7" t="s">
        <v>5</v>
      </c>
      <c r="B51" s="51" t="s">
        <v>114</v>
      </c>
      <c r="C51" s="9" t="s">
        <v>135</v>
      </c>
      <c r="D51" s="8" t="s">
        <v>196</v>
      </c>
      <c r="E51" s="8" t="str">
        <f t="shared" si="0"/>
        <v>ROBERT - PONCE COMPANY S.A.SPOLVO DETERGENTE</v>
      </c>
      <c r="F51" s="28">
        <v>1200</v>
      </c>
      <c r="G51" s="28">
        <v>1200</v>
      </c>
      <c r="H51" s="28">
        <v>1200</v>
      </c>
      <c r="I51" s="34">
        <f t="shared" si="1"/>
        <v>3600</v>
      </c>
      <c r="J51" s="29">
        <v>4.4999999999999998E-2</v>
      </c>
      <c r="K51" s="30">
        <f t="shared" si="2"/>
        <v>162</v>
      </c>
      <c r="L51" s="31">
        <f t="shared" si="3"/>
        <v>178.20000000000002</v>
      </c>
      <c r="M51" s="32">
        <v>0</v>
      </c>
      <c r="N51" s="32">
        <v>2604.6756</v>
      </c>
      <c r="O51" s="32">
        <v>0</v>
      </c>
      <c r="P51" s="81">
        <v>0</v>
      </c>
      <c r="Q51" s="10">
        <f t="shared" si="4"/>
        <v>2604.6756</v>
      </c>
      <c r="R51" s="33">
        <f t="shared" si="5"/>
        <v>0.72352099999999997</v>
      </c>
      <c r="S51" s="33" t="str">
        <f t="shared" si="6"/>
        <v>NO GANA</v>
      </c>
      <c r="T51" s="33" t="str">
        <f>VLOOKUP(B51,'CUOTA TOTAL'!$B$4:$F$72,5,FALSE)</f>
        <v>NO GANA</v>
      </c>
      <c r="U51" s="31">
        <f t="shared" si="7"/>
        <v>0</v>
      </c>
      <c r="V51" s="31">
        <f t="shared" si="8"/>
        <v>0</v>
      </c>
    </row>
    <row r="52" spans="1:22" ht="14.45">
      <c r="A52" s="7" t="s">
        <v>5</v>
      </c>
      <c r="B52" s="51" t="s">
        <v>114</v>
      </c>
      <c r="C52" s="9" t="s">
        <v>135</v>
      </c>
      <c r="D52" s="8" t="s">
        <v>197</v>
      </c>
      <c r="E52" s="8" t="str">
        <f t="shared" si="0"/>
        <v>ROBERT - PONCE COMPANY S.A.SOTRAS CATEGORIAS</v>
      </c>
      <c r="F52" s="28">
        <v>10</v>
      </c>
      <c r="G52" s="28">
        <v>10</v>
      </c>
      <c r="H52" s="28">
        <v>10</v>
      </c>
      <c r="I52" s="34">
        <f t="shared" si="1"/>
        <v>30</v>
      </c>
      <c r="J52" s="29"/>
      <c r="K52" s="30">
        <f t="shared" si="2"/>
        <v>0</v>
      </c>
      <c r="L52" s="31">
        <f t="shared" si="3"/>
        <v>0</v>
      </c>
      <c r="M52" s="32">
        <v>0</v>
      </c>
      <c r="N52" s="32">
        <v>0</v>
      </c>
      <c r="O52" s="32">
        <v>0</v>
      </c>
      <c r="P52" s="81">
        <v>0</v>
      </c>
      <c r="Q52" s="10">
        <f t="shared" si="4"/>
        <v>0</v>
      </c>
      <c r="R52" s="33">
        <f t="shared" si="5"/>
        <v>0</v>
      </c>
      <c r="S52" s="33" t="str">
        <f t="shared" si="6"/>
        <v>NO GANA</v>
      </c>
      <c r="T52" s="33" t="str">
        <f>VLOOKUP(B52,'CUOTA TOTAL'!$B$4:$F$72,5,FALSE)</f>
        <v>NO GANA</v>
      </c>
      <c r="U52" s="31">
        <f t="shared" si="7"/>
        <v>0</v>
      </c>
      <c r="V52" s="31">
        <f t="shared" si="8"/>
        <v>0</v>
      </c>
    </row>
    <row r="53" spans="1:22" ht="14.45">
      <c r="A53" s="7" t="s">
        <v>5</v>
      </c>
      <c r="B53" s="51" t="s">
        <v>19</v>
      </c>
      <c r="C53" s="9" t="s">
        <v>135</v>
      </c>
      <c r="D53" s="36" t="s">
        <v>165</v>
      </c>
      <c r="E53" s="8" t="str">
        <f t="shared" si="0"/>
        <v>URETA MENDOZA ERMEL RUBENBARRA</v>
      </c>
      <c r="F53" s="28">
        <v>488.92</v>
      </c>
      <c r="G53" s="28">
        <v>488.92</v>
      </c>
      <c r="H53" s="28">
        <v>488.92</v>
      </c>
      <c r="I53" s="34">
        <f t="shared" si="1"/>
        <v>1466.76</v>
      </c>
      <c r="J53" s="29">
        <v>1.4999999999999999E-2</v>
      </c>
      <c r="K53" s="30">
        <f t="shared" si="2"/>
        <v>22.0014</v>
      </c>
      <c r="L53" s="31">
        <f t="shared" si="3"/>
        <v>24.201540000000001</v>
      </c>
      <c r="M53" s="32">
        <v>262.02879999999999</v>
      </c>
      <c r="N53" s="32">
        <v>613.41599999999994</v>
      </c>
      <c r="O53" s="32">
        <v>535.79999999999995</v>
      </c>
      <c r="P53" s="81">
        <v>0</v>
      </c>
      <c r="Q53" s="10">
        <f t="shared" si="4"/>
        <v>1411.2447999999999</v>
      </c>
      <c r="R53" s="33">
        <f t="shared" si="5"/>
        <v>0.96215113583681033</v>
      </c>
      <c r="S53" s="33" t="str">
        <f t="shared" si="6"/>
        <v>GANA</v>
      </c>
      <c r="T53" s="33" t="str">
        <f>VLOOKUP(B53,'CUOTA TOTAL'!$B$4:$F$72,5,FALSE)</f>
        <v>NO GANA</v>
      </c>
      <c r="U53" s="31">
        <f t="shared" si="7"/>
        <v>0</v>
      </c>
      <c r="V53" s="31">
        <f t="shared" si="8"/>
        <v>0</v>
      </c>
    </row>
    <row r="54" spans="1:22" ht="14.45">
      <c r="A54" s="7" t="s">
        <v>5</v>
      </c>
      <c r="B54" s="51" t="s">
        <v>19</v>
      </c>
      <c r="C54" s="9" t="s">
        <v>135</v>
      </c>
      <c r="D54" s="36" t="s">
        <v>193</v>
      </c>
      <c r="E54" s="8" t="str">
        <f t="shared" si="0"/>
        <v>URETA MENDOZA ERMEL RUBENCREMA</v>
      </c>
      <c r="F54" s="28">
        <v>535.16</v>
      </c>
      <c r="G54" s="28">
        <v>535.16</v>
      </c>
      <c r="H54" s="28">
        <v>535.16</v>
      </c>
      <c r="I54" s="34">
        <f t="shared" si="1"/>
        <v>1605.48</v>
      </c>
      <c r="J54" s="29">
        <v>3.5000000000000003E-2</v>
      </c>
      <c r="K54" s="30">
        <f t="shared" si="2"/>
        <v>56.191800000000008</v>
      </c>
      <c r="L54" s="31">
        <f t="shared" si="3"/>
        <v>61.810980000000015</v>
      </c>
      <c r="M54" s="32">
        <v>526.36200000000008</v>
      </c>
      <c r="N54" s="32">
        <v>787.25400000000025</v>
      </c>
      <c r="O54" s="32">
        <v>0</v>
      </c>
      <c r="P54" s="81">
        <v>0</v>
      </c>
      <c r="Q54" s="10">
        <f t="shared" si="4"/>
        <v>1313.6160000000004</v>
      </c>
      <c r="R54" s="33">
        <f t="shared" si="5"/>
        <v>0.81820763883698355</v>
      </c>
      <c r="S54" s="33" t="str">
        <f t="shared" si="6"/>
        <v>GANA</v>
      </c>
      <c r="T54" s="33" t="str">
        <f>VLOOKUP(B54,'CUOTA TOTAL'!$B$4:$F$72,5,FALSE)</f>
        <v>NO GANA</v>
      </c>
      <c r="U54" s="31">
        <f t="shared" si="7"/>
        <v>0</v>
      </c>
      <c r="V54" s="31">
        <f t="shared" si="8"/>
        <v>0</v>
      </c>
    </row>
    <row r="55" spans="1:22" ht="14.45">
      <c r="A55" s="7" t="s">
        <v>5</v>
      </c>
      <c r="B55" s="51" t="s">
        <v>19</v>
      </c>
      <c r="C55" s="9" t="s">
        <v>135</v>
      </c>
      <c r="D55" s="36" t="s">
        <v>194</v>
      </c>
      <c r="E55" s="8" t="str">
        <f t="shared" si="0"/>
        <v>URETA MENDOZA ERMEL RUBENLIQUIDO</v>
      </c>
      <c r="F55" s="28">
        <v>100</v>
      </c>
      <c r="G55" s="28">
        <v>100</v>
      </c>
      <c r="H55" s="28">
        <v>100</v>
      </c>
      <c r="I55" s="34">
        <f t="shared" si="1"/>
        <v>300</v>
      </c>
      <c r="J55" s="29">
        <v>1.4999999999999999E-2</v>
      </c>
      <c r="K55" s="30">
        <f>+I55*J55</f>
        <v>4.5</v>
      </c>
      <c r="L55" s="31">
        <f>(I55*1.1)*J55</f>
        <v>4.95</v>
      </c>
      <c r="M55" s="32">
        <v>8.7216000000000005</v>
      </c>
      <c r="N55" s="32">
        <v>34.886400000000002</v>
      </c>
      <c r="O55" s="32">
        <v>0</v>
      </c>
      <c r="P55" s="81">
        <v>0</v>
      </c>
      <c r="Q55" s="10">
        <f t="shared" si="4"/>
        <v>43.608000000000004</v>
      </c>
      <c r="R55" s="33">
        <f t="shared" si="5"/>
        <v>0.14536000000000002</v>
      </c>
      <c r="S55" s="33" t="str">
        <f t="shared" si="6"/>
        <v>NO GANA</v>
      </c>
      <c r="T55" s="33" t="str">
        <f>VLOOKUP(B55,'CUOTA TOTAL'!$B$4:$F$72,5,FALSE)</f>
        <v>NO GANA</v>
      </c>
      <c r="U55" s="31">
        <f t="shared" si="7"/>
        <v>0</v>
      </c>
      <c r="V55" s="31">
        <f t="shared" si="8"/>
        <v>0</v>
      </c>
    </row>
    <row r="56" spans="1:22" ht="14.45">
      <c r="A56" s="7" t="s">
        <v>5</v>
      </c>
      <c r="B56" s="51" t="s">
        <v>19</v>
      </c>
      <c r="C56" s="9" t="s">
        <v>135</v>
      </c>
      <c r="D56" s="36" t="s">
        <v>196</v>
      </c>
      <c r="E56" s="8" t="str">
        <f t="shared" si="0"/>
        <v>URETA MENDOZA ERMEL RUBENPOLVO DETERGENTE</v>
      </c>
      <c r="F56" s="28">
        <v>698</v>
      </c>
      <c r="G56" s="28">
        <v>698</v>
      </c>
      <c r="H56" s="28">
        <v>698</v>
      </c>
      <c r="I56" s="34">
        <f t="shared" si="1"/>
        <v>2094</v>
      </c>
      <c r="J56" s="29">
        <v>4.4999999999999998E-2</v>
      </c>
      <c r="K56" s="30">
        <f>+I56*J56</f>
        <v>94.22999999999999</v>
      </c>
      <c r="L56" s="31">
        <f>(I56*1.1)*J56</f>
        <v>103.65300000000001</v>
      </c>
      <c r="M56" s="32">
        <v>132.26400000000001</v>
      </c>
      <c r="N56" s="32">
        <v>851.97199999999998</v>
      </c>
      <c r="O56" s="32">
        <v>0</v>
      </c>
      <c r="P56" s="81">
        <v>0</v>
      </c>
      <c r="Q56" s="10">
        <f t="shared" si="4"/>
        <v>984.23599999999999</v>
      </c>
      <c r="R56" s="33">
        <f t="shared" si="5"/>
        <v>0.47002674307545367</v>
      </c>
      <c r="S56" s="33" t="str">
        <f t="shared" si="6"/>
        <v>NO GANA</v>
      </c>
      <c r="T56" s="33" t="str">
        <f>VLOOKUP(B56,'CUOTA TOTAL'!$B$4:$F$72,5,FALSE)</f>
        <v>NO GANA</v>
      </c>
      <c r="U56" s="31">
        <f t="shared" si="7"/>
        <v>0</v>
      </c>
      <c r="V56" s="31">
        <f t="shared" si="8"/>
        <v>0</v>
      </c>
    </row>
    <row r="57" spans="1:22" ht="14.45">
      <c r="A57" s="7" t="s">
        <v>5</v>
      </c>
      <c r="B57" s="51" t="s">
        <v>19</v>
      </c>
      <c r="C57" s="9" t="s">
        <v>135</v>
      </c>
      <c r="D57" s="36" t="s">
        <v>197</v>
      </c>
      <c r="E57" s="8" t="str">
        <f t="shared" si="0"/>
        <v>URETA MENDOZA ERMEL RUBENOTRAS CATEGORIAS</v>
      </c>
      <c r="F57" s="28">
        <v>10</v>
      </c>
      <c r="G57" s="28">
        <v>10</v>
      </c>
      <c r="H57" s="28">
        <v>10</v>
      </c>
      <c r="I57" s="34">
        <f t="shared" si="1"/>
        <v>30</v>
      </c>
      <c r="J57" s="29"/>
      <c r="K57" s="30">
        <f>+I57*J57</f>
        <v>0</v>
      </c>
      <c r="L57" s="31">
        <f>(I57*1.1)*J57</f>
        <v>0</v>
      </c>
      <c r="M57" s="32">
        <v>0</v>
      </c>
      <c r="N57" s="32">
        <v>47.015999999999998</v>
      </c>
      <c r="O57" s="32">
        <v>0</v>
      </c>
      <c r="P57" s="81">
        <v>0</v>
      </c>
      <c r="Q57" s="10">
        <f t="shared" si="4"/>
        <v>47.015999999999998</v>
      </c>
      <c r="R57" s="33">
        <f t="shared" si="5"/>
        <v>1.5671999999999999</v>
      </c>
      <c r="S57" s="33" t="str">
        <f t="shared" si="6"/>
        <v>GANA</v>
      </c>
      <c r="T57" s="33" t="str">
        <f>VLOOKUP(B57,'CUOTA TOTAL'!$B$4:$F$72,5,FALSE)</f>
        <v>NO GANA</v>
      </c>
      <c r="U57" s="31">
        <f t="shared" si="7"/>
        <v>0</v>
      </c>
      <c r="V57" s="31">
        <f t="shared" si="8"/>
        <v>0</v>
      </c>
    </row>
    <row r="58" spans="1:22" ht="14.45">
      <c r="A58" s="7" t="s">
        <v>49</v>
      </c>
      <c r="B58" s="58" t="s">
        <v>67</v>
      </c>
      <c r="C58" s="9" t="s">
        <v>163</v>
      </c>
      <c r="D58" s="8" t="s">
        <v>165</v>
      </c>
      <c r="E58" s="8" t="str">
        <f t="shared" si="0"/>
        <v>TOALOMBO LLACA ROSA ISABELBARRA</v>
      </c>
      <c r="F58" s="28">
        <v>3400</v>
      </c>
      <c r="G58" s="28">
        <v>3400</v>
      </c>
      <c r="H58" s="28">
        <v>3400</v>
      </c>
      <c r="I58" s="34">
        <f t="shared" si="1"/>
        <v>10200</v>
      </c>
      <c r="J58" s="29">
        <v>1.4999999999999999E-2</v>
      </c>
      <c r="K58" s="30">
        <f t="shared" si="2"/>
        <v>153</v>
      </c>
      <c r="L58" s="31">
        <f t="shared" si="3"/>
        <v>168.29999999999998</v>
      </c>
      <c r="M58" s="32">
        <v>0</v>
      </c>
      <c r="N58" s="32">
        <v>3459.1103999999996</v>
      </c>
      <c r="O58" s="32">
        <v>1652.2367999999999</v>
      </c>
      <c r="P58" s="81">
        <v>0</v>
      </c>
      <c r="Q58" s="10">
        <f t="shared" si="4"/>
        <v>5111.3471999999992</v>
      </c>
      <c r="R58" s="33">
        <f t="shared" si="5"/>
        <v>0.50111247058823527</v>
      </c>
      <c r="S58" s="33" t="str">
        <f t="shared" si="6"/>
        <v>NO GANA</v>
      </c>
      <c r="T58" s="33" t="str">
        <f>VLOOKUP(B58,'CUOTA TOTAL'!$B$4:$F$72,5,FALSE)</f>
        <v>NO GANA</v>
      </c>
      <c r="U58" s="31">
        <f t="shared" si="7"/>
        <v>0</v>
      </c>
      <c r="V58" s="31">
        <f t="shared" si="8"/>
        <v>0</v>
      </c>
    </row>
    <row r="59" spans="1:22" ht="14.45">
      <c r="A59" s="7" t="s">
        <v>49</v>
      </c>
      <c r="B59" s="58" t="s">
        <v>67</v>
      </c>
      <c r="C59" s="9" t="s">
        <v>163</v>
      </c>
      <c r="D59" s="8" t="s">
        <v>193</v>
      </c>
      <c r="E59" s="8" t="str">
        <f t="shared" si="0"/>
        <v>TOALOMBO LLACA ROSA ISABELCREMA</v>
      </c>
      <c r="F59" s="28">
        <v>542</v>
      </c>
      <c r="G59" s="28">
        <v>542</v>
      </c>
      <c r="H59" s="28">
        <v>542</v>
      </c>
      <c r="I59" s="34">
        <f t="shared" si="1"/>
        <v>1626</v>
      </c>
      <c r="J59" s="29">
        <v>1.4999999999999999E-2</v>
      </c>
      <c r="K59" s="30">
        <f t="shared" si="2"/>
        <v>24.39</v>
      </c>
      <c r="L59" s="31">
        <f t="shared" si="3"/>
        <v>26.829000000000001</v>
      </c>
      <c r="M59" s="32">
        <v>0</v>
      </c>
      <c r="N59" s="32">
        <v>829.596</v>
      </c>
      <c r="O59" s="32">
        <v>844.12440000000015</v>
      </c>
      <c r="P59" s="81">
        <v>0</v>
      </c>
      <c r="Q59" s="10">
        <f t="shared" si="4"/>
        <v>1673.7204000000002</v>
      </c>
      <c r="R59" s="33">
        <f t="shared" si="5"/>
        <v>1.0293483394833949</v>
      </c>
      <c r="S59" s="33" t="str">
        <f t="shared" si="6"/>
        <v>GANA</v>
      </c>
      <c r="T59" s="33" t="str">
        <f>VLOOKUP(B59,'CUOTA TOTAL'!$B$4:$F$72,5,FALSE)</f>
        <v>NO GANA</v>
      </c>
      <c r="U59" s="31">
        <f t="shared" si="7"/>
        <v>0</v>
      </c>
      <c r="V59" s="31">
        <f t="shared" si="8"/>
        <v>0</v>
      </c>
    </row>
    <row r="60" spans="1:22" ht="14.45">
      <c r="A60" s="7" t="s">
        <v>49</v>
      </c>
      <c r="B60" s="58" t="s">
        <v>67</v>
      </c>
      <c r="C60" s="9" t="s">
        <v>163</v>
      </c>
      <c r="D60" s="8" t="s">
        <v>194</v>
      </c>
      <c r="E60" s="8" t="str">
        <f t="shared" si="0"/>
        <v>TOALOMBO LLACA ROSA ISABELLIQUIDO</v>
      </c>
      <c r="F60" s="28">
        <v>40</v>
      </c>
      <c r="G60" s="28">
        <v>40</v>
      </c>
      <c r="H60" s="28">
        <v>40</v>
      </c>
      <c r="I60" s="34">
        <f t="shared" si="1"/>
        <v>120</v>
      </c>
      <c r="J60" s="29">
        <v>1.4999999999999999E-2</v>
      </c>
      <c r="K60" s="30">
        <f t="shared" si="2"/>
        <v>1.7999999999999998</v>
      </c>
      <c r="L60" s="31">
        <f t="shared" si="3"/>
        <v>1.98</v>
      </c>
      <c r="M60" s="32">
        <v>0</v>
      </c>
      <c r="N60" s="32">
        <v>0</v>
      </c>
      <c r="O60" s="32">
        <v>0</v>
      </c>
      <c r="P60" s="81">
        <v>0</v>
      </c>
      <c r="Q60" s="10">
        <f t="shared" si="4"/>
        <v>0</v>
      </c>
      <c r="R60" s="33">
        <f t="shared" si="5"/>
        <v>0</v>
      </c>
      <c r="S60" s="33" t="str">
        <f t="shared" si="6"/>
        <v>NO GANA</v>
      </c>
      <c r="T60" s="33" t="str">
        <f>VLOOKUP(B60,'CUOTA TOTAL'!$B$4:$F$72,5,FALSE)</f>
        <v>NO GANA</v>
      </c>
      <c r="U60" s="31">
        <f t="shared" si="7"/>
        <v>0</v>
      </c>
      <c r="V60" s="31">
        <f t="shared" si="8"/>
        <v>0</v>
      </c>
    </row>
    <row r="61" spans="1:22" ht="14.45">
      <c r="A61" s="7" t="s">
        <v>49</v>
      </c>
      <c r="B61" s="58" t="s">
        <v>67</v>
      </c>
      <c r="C61" s="9" t="s">
        <v>163</v>
      </c>
      <c r="D61" s="8" t="s">
        <v>196</v>
      </c>
      <c r="E61" s="8" t="str">
        <f t="shared" si="0"/>
        <v>TOALOMBO LLACA ROSA ISABELPOLVO DETERGENTE</v>
      </c>
      <c r="F61" s="28">
        <v>2105</v>
      </c>
      <c r="G61" s="28">
        <v>2105</v>
      </c>
      <c r="H61" s="28">
        <v>2105</v>
      </c>
      <c r="I61" s="34">
        <f t="shared" si="1"/>
        <v>6315</v>
      </c>
      <c r="J61" s="29">
        <v>1.4999999999999999E-2</v>
      </c>
      <c r="K61" s="30">
        <f t="shared" si="2"/>
        <v>94.724999999999994</v>
      </c>
      <c r="L61" s="31">
        <f t="shared" si="3"/>
        <v>104.19750000000001</v>
      </c>
      <c r="M61" s="32">
        <v>5238.6048000000001</v>
      </c>
      <c r="N61" s="32">
        <v>529.05600000000004</v>
      </c>
      <c r="O61" s="32">
        <v>3566.88</v>
      </c>
      <c r="P61" s="81">
        <v>0</v>
      </c>
      <c r="Q61" s="10">
        <f t="shared" si="4"/>
        <v>9334.5407999999989</v>
      </c>
      <c r="R61" s="33">
        <f t="shared" si="5"/>
        <v>1.4781537292161517</v>
      </c>
      <c r="S61" s="33" t="str">
        <f t="shared" si="6"/>
        <v>GANA</v>
      </c>
      <c r="T61" s="33" t="str">
        <f>VLOOKUP(B61,'CUOTA TOTAL'!$B$4:$F$72,5,FALSE)</f>
        <v>NO GANA</v>
      </c>
      <c r="U61" s="31">
        <f t="shared" si="7"/>
        <v>0</v>
      </c>
      <c r="V61" s="31">
        <f t="shared" si="8"/>
        <v>0</v>
      </c>
    </row>
    <row r="62" spans="1:22" ht="14.45">
      <c r="A62" s="7" t="s">
        <v>49</v>
      </c>
      <c r="B62" s="58" t="s">
        <v>67</v>
      </c>
      <c r="C62" s="9" t="s">
        <v>163</v>
      </c>
      <c r="D62" s="8" t="s">
        <v>197</v>
      </c>
      <c r="E62" s="8" t="str">
        <f t="shared" si="0"/>
        <v>TOALOMBO LLACA ROSA ISABELOTRAS CATEGORIAS</v>
      </c>
      <c r="F62" s="28">
        <v>20</v>
      </c>
      <c r="G62" s="28">
        <v>20</v>
      </c>
      <c r="H62" s="28">
        <v>20</v>
      </c>
      <c r="I62" s="34">
        <f t="shared" si="1"/>
        <v>60</v>
      </c>
      <c r="J62" s="69">
        <v>1.4999999999999999E-2</v>
      </c>
      <c r="K62" s="30">
        <f t="shared" si="2"/>
        <v>0.89999999999999991</v>
      </c>
      <c r="L62" s="31">
        <f t="shared" si="3"/>
        <v>0.99</v>
      </c>
      <c r="M62" s="32">
        <v>0</v>
      </c>
      <c r="N62" s="32">
        <v>0</v>
      </c>
      <c r="O62" s="32">
        <v>0</v>
      </c>
      <c r="P62" s="81">
        <v>0</v>
      </c>
      <c r="Q62" s="10">
        <f t="shared" si="4"/>
        <v>0</v>
      </c>
      <c r="R62" s="33">
        <f t="shared" si="5"/>
        <v>0</v>
      </c>
      <c r="S62" s="33" t="str">
        <f t="shared" si="6"/>
        <v>NO GANA</v>
      </c>
      <c r="T62" s="33" t="str">
        <f>VLOOKUP(B62,'CUOTA TOTAL'!$B$4:$F$72,5,FALSE)</f>
        <v>NO GANA</v>
      </c>
      <c r="U62" s="31">
        <f t="shared" si="7"/>
        <v>0</v>
      </c>
      <c r="V62" s="31">
        <f t="shared" si="8"/>
        <v>0</v>
      </c>
    </row>
    <row r="63" spans="1:22" ht="14.45">
      <c r="A63" s="7" t="s">
        <v>33</v>
      </c>
      <c r="B63" s="51" t="s">
        <v>48</v>
      </c>
      <c r="C63" s="9" t="s">
        <v>135</v>
      </c>
      <c r="D63" s="8" t="s">
        <v>165</v>
      </c>
      <c r="E63" s="8" t="str">
        <f t="shared" si="0"/>
        <v>SOCIEDAD CIVIL MARCSOL Y CIABARRA</v>
      </c>
      <c r="F63" s="34">
        <v>3615.06</v>
      </c>
      <c r="G63" s="34">
        <v>3615.06</v>
      </c>
      <c r="H63" s="34">
        <v>3615.06</v>
      </c>
      <c r="I63" s="34">
        <f t="shared" si="1"/>
        <v>10845.18</v>
      </c>
      <c r="J63" s="29">
        <v>1.4999999999999999E-2</v>
      </c>
      <c r="K63" s="30">
        <f t="shared" si="2"/>
        <v>162.67769999999999</v>
      </c>
      <c r="L63" s="31">
        <f t="shared" si="3"/>
        <v>178.94547000000003</v>
      </c>
      <c r="M63" s="32">
        <v>4387.8296</v>
      </c>
      <c r="N63" s="32">
        <v>5745.148000000001</v>
      </c>
      <c r="O63" s="32">
        <v>3243.0428000000006</v>
      </c>
      <c r="P63" s="81">
        <v>0</v>
      </c>
      <c r="Q63" s="10">
        <f t="shared" si="4"/>
        <v>13376.020400000003</v>
      </c>
      <c r="R63" s="33">
        <f t="shared" si="5"/>
        <v>1.2333608478605245</v>
      </c>
      <c r="S63" s="33" t="str">
        <f t="shared" si="6"/>
        <v>GANA</v>
      </c>
      <c r="T63" s="33" t="str">
        <f>VLOOKUP(B63,'CUOTA TOTAL'!$B$4:$F$72,5,FALSE)</f>
        <v>GANA</v>
      </c>
      <c r="U63" s="31">
        <f t="shared" si="7"/>
        <v>200.64030600000004</v>
      </c>
      <c r="V63" s="31">
        <f t="shared" si="8"/>
        <v>178.94547000000003</v>
      </c>
    </row>
    <row r="64" spans="1:22" ht="14.45">
      <c r="A64" s="7" t="s">
        <v>33</v>
      </c>
      <c r="B64" s="51" t="s">
        <v>48</v>
      </c>
      <c r="C64" s="9" t="s">
        <v>135</v>
      </c>
      <c r="D64" s="8" t="s">
        <v>193</v>
      </c>
      <c r="E64" s="8" t="str">
        <f t="shared" si="0"/>
        <v>SOCIEDAD CIVIL MARCSOL Y CIACREMA</v>
      </c>
      <c r="F64" s="34">
        <v>3277.37</v>
      </c>
      <c r="G64" s="34">
        <v>3277.37</v>
      </c>
      <c r="H64" s="34">
        <v>3277.37</v>
      </c>
      <c r="I64" s="34">
        <f t="shared" si="1"/>
        <v>9832.11</v>
      </c>
      <c r="J64" s="29">
        <v>3.5000000000000003E-2</v>
      </c>
      <c r="K64" s="30">
        <f t="shared" si="2"/>
        <v>344.12385000000006</v>
      </c>
      <c r="L64" s="31">
        <f t="shared" si="3"/>
        <v>378.53623500000009</v>
      </c>
      <c r="M64" s="32">
        <v>3880.9674000000005</v>
      </c>
      <c r="N64" s="32">
        <v>3648.6426000000001</v>
      </c>
      <c r="O64" s="32">
        <v>3317.8941000000009</v>
      </c>
      <c r="P64" s="81">
        <v>0</v>
      </c>
      <c r="Q64" s="10">
        <f t="shared" si="4"/>
        <v>10847.504100000002</v>
      </c>
      <c r="R64" s="33">
        <f t="shared" si="5"/>
        <v>1.1032732648434569</v>
      </c>
      <c r="S64" s="33" t="str">
        <f t="shared" si="6"/>
        <v>GANA</v>
      </c>
      <c r="T64" s="33" t="str">
        <f>VLOOKUP(B64,'CUOTA TOTAL'!$B$4:$F$72,5,FALSE)</f>
        <v>GANA</v>
      </c>
      <c r="U64" s="31">
        <f t="shared" si="7"/>
        <v>379.66264350000012</v>
      </c>
      <c r="V64" s="31">
        <f t="shared" si="8"/>
        <v>378.53623500000009</v>
      </c>
    </row>
    <row r="65" spans="1:22" ht="14.45">
      <c r="A65" s="7" t="s">
        <v>33</v>
      </c>
      <c r="B65" s="51" t="s">
        <v>48</v>
      </c>
      <c r="C65" s="9" t="s">
        <v>135</v>
      </c>
      <c r="D65" s="8" t="s">
        <v>194</v>
      </c>
      <c r="E65" s="8" t="str">
        <f t="shared" si="0"/>
        <v>SOCIEDAD CIVIL MARCSOL Y CIALIQUIDO</v>
      </c>
      <c r="F65" s="34">
        <v>863.87</v>
      </c>
      <c r="G65" s="34">
        <v>863.87</v>
      </c>
      <c r="H65" s="34">
        <v>863.87</v>
      </c>
      <c r="I65" s="34">
        <f t="shared" si="1"/>
        <v>2591.61</v>
      </c>
      <c r="J65" s="29">
        <v>1.4999999999999999E-2</v>
      </c>
      <c r="K65" s="30">
        <f t="shared" si="2"/>
        <v>38.87415</v>
      </c>
      <c r="L65" s="31">
        <f t="shared" si="3"/>
        <v>42.761565000000004</v>
      </c>
      <c r="M65" s="32">
        <v>1782.3519999999999</v>
      </c>
      <c r="N65" s="32">
        <v>1171.4064000000001</v>
      </c>
      <c r="O65" s="32">
        <v>940.94080000000008</v>
      </c>
      <c r="P65" s="81">
        <v>0</v>
      </c>
      <c r="Q65" s="10">
        <f t="shared" si="4"/>
        <v>3894.6992</v>
      </c>
      <c r="R65" s="33">
        <f t="shared" si="5"/>
        <v>1.5028106852497096</v>
      </c>
      <c r="S65" s="33" t="str">
        <f t="shared" si="6"/>
        <v>GANA</v>
      </c>
      <c r="T65" s="33" t="str">
        <f>VLOOKUP(B65,'CUOTA TOTAL'!$B$4:$F$72,5,FALSE)</f>
        <v>GANA</v>
      </c>
      <c r="U65" s="31">
        <f t="shared" si="7"/>
        <v>58.420487999999999</v>
      </c>
      <c r="V65" s="31">
        <f t="shared" si="8"/>
        <v>42.761565000000004</v>
      </c>
    </row>
    <row r="66" spans="1:22" ht="14.45">
      <c r="A66" s="7" t="s">
        <v>33</v>
      </c>
      <c r="B66" s="51" t="s">
        <v>48</v>
      </c>
      <c r="C66" s="9" t="s">
        <v>135</v>
      </c>
      <c r="D66" s="8" t="s">
        <v>196</v>
      </c>
      <c r="E66" s="8" t="str">
        <f t="shared" si="0"/>
        <v>SOCIEDAD CIVIL MARCSOL Y CIAPOLVO DETERGENTE</v>
      </c>
      <c r="F66" s="34">
        <v>10083.799999999999</v>
      </c>
      <c r="G66" s="34">
        <v>10083.799999999999</v>
      </c>
      <c r="H66" s="34">
        <v>10083.799999999999</v>
      </c>
      <c r="I66" s="34">
        <f t="shared" si="1"/>
        <v>30251.399999999998</v>
      </c>
      <c r="J66" s="29">
        <v>4.4999999999999998E-2</v>
      </c>
      <c r="K66" s="30">
        <f t="shared" si="2"/>
        <v>1361.3129999999999</v>
      </c>
      <c r="L66" s="31">
        <f t="shared" si="3"/>
        <v>1497.4442999999999</v>
      </c>
      <c r="M66" s="32">
        <v>23332.965600000003</v>
      </c>
      <c r="N66" s="32">
        <v>733.61360000000002</v>
      </c>
      <c r="O66" s="32">
        <v>4189.0504000000001</v>
      </c>
      <c r="P66" s="81">
        <v>0</v>
      </c>
      <c r="Q66" s="10">
        <f t="shared" si="4"/>
        <v>28255.629600000004</v>
      </c>
      <c r="R66" s="33">
        <f t="shared" si="5"/>
        <v>0.93402717229615839</v>
      </c>
      <c r="S66" s="33" t="str">
        <f t="shared" si="6"/>
        <v>GANA</v>
      </c>
      <c r="T66" s="33" t="str">
        <f>VLOOKUP(B66,'CUOTA TOTAL'!$B$4:$F$72,5,FALSE)</f>
        <v>GANA</v>
      </c>
      <c r="U66" s="31">
        <f t="shared" si="7"/>
        <v>1271.5033320000002</v>
      </c>
      <c r="V66" s="31">
        <f t="shared" si="8"/>
        <v>1271.5033320000002</v>
      </c>
    </row>
    <row r="67" spans="1:22" ht="14.45">
      <c r="A67" s="7" t="s">
        <v>33</v>
      </c>
      <c r="B67" s="51" t="s">
        <v>48</v>
      </c>
      <c r="C67" s="9" t="s">
        <v>135</v>
      </c>
      <c r="D67" s="8" t="s">
        <v>197</v>
      </c>
      <c r="E67" s="8" t="str">
        <f t="shared" ref="E67:E125" si="9">_xlfn.CONCAT(B67,D67)</f>
        <v>SOCIEDAD CIVIL MARCSOL Y CIAOTRAS CATEGORIAS</v>
      </c>
      <c r="F67" s="34"/>
      <c r="G67" s="34"/>
      <c r="H67" s="34"/>
      <c r="I67" s="34">
        <f t="shared" ref="I67:I117" si="10">+F67+G67+H67</f>
        <v>0</v>
      </c>
      <c r="J67" s="29"/>
      <c r="K67" s="30">
        <f t="shared" ref="K67:K92" si="11">+I67*J67</f>
        <v>0</v>
      </c>
      <c r="L67" s="31">
        <f t="shared" ref="L67:L92" si="12">(I67*1.1)*J67</f>
        <v>0</v>
      </c>
      <c r="M67" s="32">
        <v>0</v>
      </c>
      <c r="N67" s="32">
        <v>0</v>
      </c>
      <c r="O67" s="32">
        <v>0</v>
      </c>
      <c r="P67" s="81">
        <v>0</v>
      </c>
      <c r="Q67" s="10">
        <f t="shared" ref="Q67:Q130" si="13">SUM(M67:O67)</f>
        <v>0</v>
      </c>
      <c r="R67" s="33">
        <f>IFERROR(+Q67/I67,0)</f>
        <v>0</v>
      </c>
      <c r="S67" s="33" t="str">
        <f t="shared" ref="S67:S130" si="14">IF(R67&gt;=80%,"GANA","NO GANA")</f>
        <v>NO GANA</v>
      </c>
      <c r="T67" s="33" t="str">
        <f>VLOOKUP(B67,'CUOTA TOTAL'!$B$4:$F$72,5,FALSE)</f>
        <v>GANA</v>
      </c>
      <c r="U67" s="31">
        <f t="shared" ref="U67:U130" si="15">IF(AND(T67="GANA",S67="GANA"),Q67*J67,0)</f>
        <v>0</v>
      </c>
      <c r="V67" s="31">
        <f t="shared" ref="V67:V130" si="16">IF(U67&lt;=L67,U67,L67)</f>
        <v>0</v>
      </c>
    </row>
    <row r="68" spans="1:22" ht="14.45">
      <c r="A68" s="7" t="s">
        <v>49</v>
      </c>
      <c r="B68" s="51" t="s">
        <v>66</v>
      </c>
      <c r="C68" s="9" t="s">
        <v>163</v>
      </c>
      <c r="D68" s="8" t="s">
        <v>165</v>
      </c>
      <c r="E68" s="8" t="str">
        <f t="shared" si="9"/>
        <v>SARANGO PAREDES YERMAN ANIVALBARRA</v>
      </c>
      <c r="F68" s="28">
        <v>2614</v>
      </c>
      <c r="G68" s="28">
        <v>2614</v>
      </c>
      <c r="H68" s="28">
        <v>2614</v>
      </c>
      <c r="I68" s="34">
        <f t="shared" si="10"/>
        <v>7842</v>
      </c>
      <c r="J68" s="29">
        <v>1.4999999999999999E-2</v>
      </c>
      <c r="K68" s="30">
        <f t="shared" si="11"/>
        <v>117.63</v>
      </c>
      <c r="L68" s="31">
        <f t="shared" si="12"/>
        <v>129.393</v>
      </c>
      <c r="M68" s="32">
        <v>4655.5391999999993</v>
      </c>
      <c r="N68" s="32">
        <v>0</v>
      </c>
      <c r="O68" s="32">
        <v>0</v>
      </c>
      <c r="P68" s="81">
        <v>0</v>
      </c>
      <c r="Q68" s="10">
        <f t="shared" si="4"/>
        <v>4655.5391999999993</v>
      </c>
      <c r="R68" s="33">
        <f t="shared" ref="R68:R131" si="17">IFERROR(+Q68/I68,0)</f>
        <v>0.59366732976281555</v>
      </c>
      <c r="S68" s="33" t="str">
        <f t="shared" si="6"/>
        <v>NO GANA</v>
      </c>
      <c r="T68" s="33" t="str">
        <f>VLOOKUP(B68,'CUOTA TOTAL'!$B$4:$F$72,5,FALSE)</f>
        <v>NO GANA</v>
      </c>
      <c r="U68" s="31">
        <f t="shared" si="15"/>
        <v>0</v>
      </c>
      <c r="V68" s="31">
        <f t="shared" si="16"/>
        <v>0</v>
      </c>
    </row>
    <row r="69" spans="1:22" ht="14.45">
      <c r="A69" s="7" t="s">
        <v>49</v>
      </c>
      <c r="B69" s="51" t="s">
        <v>66</v>
      </c>
      <c r="C69" s="9" t="s">
        <v>163</v>
      </c>
      <c r="D69" s="8" t="s">
        <v>193</v>
      </c>
      <c r="E69" s="8" t="str">
        <f t="shared" si="9"/>
        <v>SARANGO PAREDES YERMAN ANIVALCREMA</v>
      </c>
      <c r="F69" s="28">
        <v>696</v>
      </c>
      <c r="G69" s="28">
        <v>696</v>
      </c>
      <c r="H69" s="28">
        <v>696</v>
      </c>
      <c r="I69" s="34">
        <f t="shared" si="10"/>
        <v>2088</v>
      </c>
      <c r="J69" s="29">
        <v>1.4999999999999999E-2</v>
      </c>
      <c r="K69" s="30">
        <f t="shared" si="11"/>
        <v>31.32</v>
      </c>
      <c r="L69" s="31">
        <f t="shared" si="12"/>
        <v>34.451999999999998</v>
      </c>
      <c r="M69" s="32">
        <v>1052.7239999999999</v>
      </c>
      <c r="N69" s="32">
        <v>0</v>
      </c>
      <c r="O69" s="32">
        <v>0</v>
      </c>
      <c r="P69" s="81">
        <v>0</v>
      </c>
      <c r="Q69" s="10">
        <f t="shared" ref="Q69:Q71" si="18">SUM(M69:O69)</f>
        <v>1052.7239999999999</v>
      </c>
      <c r="R69" s="33">
        <f t="shared" si="17"/>
        <v>0.50417816091954015</v>
      </c>
      <c r="S69" s="33" t="str">
        <f t="shared" ref="S69:S71" si="19">IF(R69&gt;=80%,"GANA","NO GANA")</f>
        <v>NO GANA</v>
      </c>
      <c r="T69" s="33" t="str">
        <f>VLOOKUP(B69,'CUOTA TOTAL'!$B$4:$F$72,5,FALSE)</f>
        <v>NO GANA</v>
      </c>
      <c r="U69" s="31">
        <f t="shared" si="15"/>
        <v>0</v>
      </c>
      <c r="V69" s="31">
        <f t="shared" si="16"/>
        <v>0</v>
      </c>
    </row>
    <row r="70" spans="1:22" ht="14.45">
      <c r="A70" s="7" t="s">
        <v>49</v>
      </c>
      <c r="B70" s="51" t="s">
        <v>66</v>
      </c>
      <c r="C70" s="9" t="s">
        <v>163</v>
      </c>
      <c r="D70" s="8" t="s">
        <v>194</v>
      </c>
      <c r="E70" s="8" t="str">
        <f t="shared" si="9"/>
        <v>SARANGO PAREDES YERMAN ANIVALLIQUIDO</v>
      </c>
      <c r="F70" s="28">
        <v>503</v>
      </c>
      <c r="G70" s="28">
        <v>503</v>
      </c>
      <c r="H70" s="28">
        <v>503</v>
      </c>
      <c r="I70" s="34">
        <f t="shared" si="10"/>
        <v>1509</v>
      </c>
      <c r="J70" s="29">
        <v>1.4999999999999999E-2</v>
      </c>
      <c r="K70" s="30">
        <f t="shared" si="11"/>
        <v>22.634999999999998</v>
      </c>
      <c r="L70" s="31">
        <f t="shared" si="12"/>
        <v>24.898500000000002</v>
      </c>
      <c r="M70" s="32">
        <v>0</v>
      </c>
      <c r="N70" s="32">
        <v>0</v>
      </c>
      <c r="O70" s="32">
        <v>0</v>
      </c>
      <c r="P70" s="81">
        <v>0</v>
      </c>
      <c r="Q70" s="10">
        <f t="shared" si="18"/>
        <v>0</v>
      </c>
      <c r="R70" s="33">
        <f t="shared" si="17"/>
        <v>0</v>
      </c>
      <c r="S70" s="33" t="str">
        <f t="shared" si="19"/>
        <v>NO GANA</v>
      </c>
      <c r="T70" s="33" t="str">
        <f>VLOOKUP(B70,'CUOTA TOTAL'!$B$4:$F$72,5,FALSE)</f>
        <v>NO GANA</v>
      </c>
      <c r="U70" s="31">
        <f t="shared" si="15"/>
        <v>0</v>
      </c>
      <c r="V70" s="31">
        <f t="shared" si="16"/>
        <v>0</v>
      </c>
    </row>
    <row r="71" spans="1:22" ht="14.45">
      <c r="A71" s="7" t="s">
        <v>49</v>
      </c>
      <c r="B71" s="51" t="s">
        <v>66</v>
      </c>
      <c r="C71" s="9" t="s">
        <v>163</v>
      </c>
      <c r="D71" s="8" t="s">
        <v>196</v>
      </c>
      <c r="E71" s="8" t="str">
        <f t="shared" si="9"/>
        <v>SARANGO PAREDES YERMAN ANIVALPOLVO DETERGENTE</v>
      </c>
      <c r="F71" s="28">
        <v>5910</v>
      </c>
      <c r="G71" s="28">
        <v>5910</v>
      </c>
      <c r="H71" s="28">
        <v>5910</v>
      </c>
      <c r="I71" s="34">
        <f t="shared" si="10"/>
        <v>17730</v>
      </c>
      <c r="J71" s="29">
        <v>1.4999999999999999E-2</v>
      </c>
      <c r="K71" s="30">
        <f t="shared" si="11"/>
        <v>265.95</v>
      </c>
      <c r="L71" s="31">
        <f t="shared" si="12"/>
        <v>292.54500000000002</v>
      </c>
      <c r="M71" s="32">
        <v>8161.1711999999998</v>
      </c>
      <c r="N71" s="32">
        <v>0</v>
      </c>
      <c r="O71" s="32">
        <v>0</v>
      </c>
      <c r="P71" s="81">
        <v>0</v>
      </c>
      <c r="Q71" s="10">
        <f t="shared" si="18"/>
        <v>8161.1711999999998</v>
      </c>
      <c r="R71" s="33">
        <f t="shared" si="17"/>
        <v>0.46030294416243656</v>
      </c>
      <c r="S71" s="33" t="str">
        <f t="shared" si="19"/>
        <v>NO GANA</v>
      </c>
      <c r="T71" s="33" t="str">
        <f>VLOOKUP(B71,'CUOTA TOTAL'!$B$4:$F$72,5,FALSE)</f>
        <v>NO GANA</v>
      </c>
      <c r="U71" s="31">
        <f t="shared" si="15"/>
        <v>0</v>
      </c>
      <c r="V71" s="31">
        <f t="shared" si="16"/>
        <v>0</v>
      </c>
    </row>
    <row r="72" spans="1:22" ht="14.45">
      <c r="A72" s="7" t="s">
        <v>49</v>
      </c>
      <c r="B72" s="51" t="s">
        <v>66</v>
      </c>
      <c r="C72" s="9" t="s">
        <v>163</v>
      </c>
      <c r="D72" s="8" t="s">
        <v>197</v>
      </c>
      <c r="E72" s="8" t="str">
        <f t="shared" si="9"/>
        <v>SARANGO PAREDES YERMAN ANIVALOTRAS CATEGORIAS</v>
      </c>
      <c r="F72" s="28">
        <v>61</v>
      </c>
      <c r="G72" s="28">
        <v>61</v>
      </c>
      <c r="H72" s="28">
        <v>61</v>
      </c>
      <c r="I72" s="34">
        <f t="shared" si="10"/>
        <v>183</v>
      </c>
      <c r="J72" s="69">
        <v>1.4999999999999999E-2</v>
      </c>
      <c r="K72" s="30">
        <f t="shared" si="11"/>
        <v>2.7450000000000001</v>
      </c>
      <c r="L72" s="31">
        <f t="shared" si="12"/>
        <v>3.0194999999999999</v>
      </c>
      <c r="M72" s="32">
        <v>0</v>
      </c>
      <c r="N72" s="32">
        <v>0</v>
      </c>
      <c r="O72" s="32">
        <v>0</v>
      </c>
      <c r="P72" s="81">
        <v>0</v>
      </c>
      <c r="Q72" s="10">
        <f t="shared" si="13"/>
        <v>0</v>
      </c>
      <c r="R72" s="33">
        <f t="shared" si="17"/>
        <v>0</v>
      </c>
      <c r="S72" s="33" t="str">
        <f t="shared" si="14"/>
        <v>NO GANA</v>
      </c>
      <c r="T72" s="33" t="str">
        <f>VLOOKUP(B72,'CUOTA TOTAL'!$B$4:$F$72,5,FALSE)</f>
        <v>NO GANA</v>
      </c>
      <c r="U72" s="31">
        <f t="shared" si="15"/>
        <v>0</v>
      </c>
      <c r="V72" s="31">
        <f t="shared" si="16"/>
        <v>0</v>
      </c>
    </row>
    <row r="73" spans="1:22" ht="14.45">
      <c r="A73" s="7" t="s">
        <v>33</v>
      </c>
      <c r="B73" s="51" t="s">
        <v>39</v>
      </c>
      <c r="C73" s="9" t="s">
        <v>135</v>
      </c>
      <c r="D73" s="8" t="s">
        <v>165</v>
      </c>
      <c r="E73" s="8" t="str">
        <f t="shared" si="9"/>
        <v>GALLARDO BUSTILLOS GENESIS ESTEFANIABARRA</v>
      </c>
      <c r="F73" s="28">
        <v>4078.9</v>
      </c>
      <c r="G73" s="28">
        <v>4078.9</v>
      </c>
      <c r="H73" s="28">
        <v>4078.9</v>
      </c>
      <c r="I73" s="34">
        <f t="shared" si="10"/>
        <v>12236.7</v>
      </c>
      <c r="J73" s="29">
        <v>1.4999999999999999E-2</v>
      </c>
      <c r="K73" s="30">
        <f t="shared" si="11"/>
        <v>183.5505</v>
      </c>
      <c r="L73" s="31">
        <f t="shared" si="12"/>
        <v>201.90555000000003</v>
      </c>
      <c r="M73" s="32">
        <v>3355.3679999999999</v>
      </c>
      <c r="N73" s="32">
        <v>1265.2511999999999</v>
      </c>
      <c r="O73" s="32">
        <v>981.46559999999999</v>
      </c>
      <c r="P73" s="81">
        <v>0</v>
      </c>
      <c r="Q73" s="10">
        <f t="shared" si="13"/>
        <v>5602.0848000000005</v>
      </c>
      <c r="R73" s="33">
        <f t="shared" si="17"/>
        <v>0.45781009585917776</v>
      </c>
      <c r="S73" s="33" t="str">
        <f t="shared" si="14"/>
        <v>NO GANA</v>
      </c>
      <c r="T73" s="33" t="str">
        <f>VLOOKUP(B73,'CUOTA TOTAL'!$B$4:$F$72,5,FALSE)</f>
        <v>NO GANA</v>
      </c>
      <c r="U73" s="31">
        <f t="shared" si="15"/>
        <v>0</v>
      </c>
      <c r="V73" s="31">
        <f t="shared" si="16"/>
        <v>0</v>
      </c>
    </row>
    <row r="74" spans="1:22" ht="14.45">
      <c r="A74" s="7" t="s">
        <v>33</v>
      </c>
      <c r="B74" s="51" t="s">
        <v>39</v>
      </c>
      <c r="C74" s="9" t="s">
        <v>135</v>
      </c>
      <c r="D74" s="8" t="s">
        <v>193</v>
      </c>
      <c r="E74" s="8" t="str">
        <f t="shared" si="9"/>
        <v>GALLARDO BUSTILLOS GENESIS ESTEFANIACREMA</v>
      </c>
      <c r="F74" s="28">
        <v>6449.22</v>
      </c>
      <c r="G74" s="28">
        <v>6449.22</v>
      </c>
      <c r="H74" s="28">
        <v>6449.22</v>
      </c>
      <c r="I74" s="34">
        <f t="shared" si="10"/>
        <v>19347.66</v>
      </c>
      <c r="J74" s="29">
        <v>3.5000000000000003E-2</v>
      </c>
      <c r="K74" s="30">
        <f t="shared" si="11"/>
        <v>677.16810000000009</v>
      </c>
      <c r="L74" s="31">
        <f t="shared" si="12"/>
        <v>744.88491000000022</v>
      </c>
      <c r="M74" s="32">
        <v>4979.5446000000002</v>
      </c>
      <c r="N74" s="32">
        <v>3778.8191999999999</v>
      </c>
      <c r="O74" s="32">
        <v>1593.2927999999997</v>
      </c>
      <c r="P74" s="81">
        <v>0</v>
      </c>
      <c r="Q74" s="10">
        <f t="shared" si="13"/>
        <v>10351.656599999998</v>
      </c>
      <c r="R74" s="33">
        <f t="shared" si="17"/>
        <v>0.53503403512362724</v>
      </c>
      <c r="S74" s="33" t="str">
        <f t="shared" si="14"/>
        <v>NO GANA</v>
      </c>
      <c r="T74" s="33" t="str">
        <f>VLOOKUP(B74,'CUOTA TOTAL'!$B$4:$F$72,5,FALSE)</f>
        <v>NO GANA</v>
      </c>
      <c r="U74" s="31">
        <f t="shared" si="15"/>
        <v>0</v>
      </c>
      <c r="V74" s="31">
        <f t="shared" si="16"/>
        <v>0</v>
      </c>
    </row>
    <row r="75" spans="1:22" ht="14.45">
      <c r="A75" s="7" t="s">
        <v>33</v>
      </c>
      <c r="B75" s="51" t="s">
        <v>39</v>
      </c>
      <c r="C75" s="9" t="s">
        <v>135</v>
      </c>
      <c r="D75" s="8" t="s">
        <v>194</v>
      </c>
      <c r="E75" s="8" t="str">
        <f t="shared" si="9"/>
        <v>GALLARDO BUSTILLOS GENESIS ESTEFANIALIQUIDO</v>
      </c>
      <c r="F75" s="28">
        <v>225.24</v>
      </c>
      <c r="G75" s="28">
        <v>225.24</v>
      </c>
      <c r="H75" s="28">
        <v>225.24</v>
      </c>
      <c r="I75" s="34">
        <f t="shared" si="10"/>
        <v>675.72</v>
      </c>
      <c r="J75" s="29">
        <v>1.4999999999999999E-2</v>
      </c>
      <c r="K75" s="30">
        <f t="shared" si="11"/>
        <v>10.1358</v>
      </c>
      <c r="L75" s="31">
        <f t="shared" si="12"/>
        <v>11.149380000000003</v>
      </c>
      <c r="M75" s="32">
        <v>490.42399999999998</v>
      </c>
      <c r="N75" s="32">
        <v>0</v>
      </c>
      <c r="O75" s="32">
        <v>99.088000000000008</v>
      </c>
      <c r="P75" s="81">
        <v>0</v>
      </c>
      <c r="Q75" s="10">
        <f t="shared" si="13"/>
        <v>589.51199999999994</v>
      </c>
      <c r="R75" s="33">
        <f t="shared" si="17"/>
        <v>0.8724205292132835</v>
      </c>
      <c r="S75" s="33" t="str">
        <f t="shared" si="14"/>
        <v>GANA</v>
      </c>
      <c r="T75" s="33" t="str">
        <f>VLOOKUP(B75,'CUOTA TOTAL'!$B$4:$F$72,5,FALSE)</f>
        <v>NO GANA</v>
      </c>
      <c r="U75" s="31">
        <f t="shared" si="15"/>
        <v>0</v>
      </c>
      <c r="V75" s="31">
        <f t="shared" si="16"/>
        <v>0</v>
      </c>
    </row>
    <row r="76" spans="1:22" ht="14.45">
      <c r="A76" s="7" t="s">
        <v>33</v>
      </c>
      <c r="B76" s="51" t="s">
        <v>39</v>
      </c>
      <c r="C76" s="9" t="s">
        <v>135</v>
      </c>
      <c r="D76" s="8" t="s">
        <v>196</v>
      </c>
      <c r="E76" s="8" t="str">
        <f t="shared" si="9"/>
        <v>GALLARDO BUSTILLOS GENESIS ESTEFANIAPOLVO DETERGENTE</v>
      </c>
      <c r="F76" s="28">
        <v>7305.8</v>
      </c>
      <c r="G76" s="28">
        <v>7305.8</v>
      </c>
      <c r="H76" s="28">
        <v>7305.8</v>
      </c>
      <c r="I76" s="34">
        <f t="shared" si="10"/>
        <v>21917.4</v>
      </c>
      <c r="J76" s="29">
        <v>4.4999999999999998E-2</v>
      </c>
      <c r="K76" s="30">
        <f t="shared" si="11"/>
        <v>986.28300000000002</v>
      </c>
      <c r="L76" s="31">
        <f t="shared" si="12"/>
        <v>1084.9113000000002</v>
      </c>
      <c r="M76" s="32">
        <v>13773.4944</v>
      </c>
      <c r="N76" s="32">
        <v>0</v>
      </c>
      <c r="O76" s="32">
        <v>2372.3103999999998</v>
      </c>
      <c r="P76" s="81">
        <v>0</v>
      </c>
      <c r="Q76" s="10">
        <f t="shared" si="13"/>
        <v>16145.8048</v>
      </c>
      <c r="R76" s="33">
        <f t="shared" si="17"/>
        <v>0.73666606440544946</v>
      </c>
      <c r="S76" s="33" t="str">
        <f t="shared" si="14"/>
        <v>NO GANA</v>
      </c>
      <c r="T76" s="33" t="str">
        <f>VLOOKUP(B76,'CUOTA TOTAL'!$B$4:$F$72,5,FALSE)</f>
        <v>NO GANA</v>
      </c>
      <c r="U76" s="31">
        <f t="shared" si="15"/>
        <v>0</v>
      </c>
      <c r="V76" s="31">
        <f t="shared" si="16"/>
        <v>0</v>
      </c>
    </row>
    <row r="77" spans="1:22" ht="14.45">
      <c r="A77" s="7" t="s">
        <v>33</v>
      </c>
      <c r="B77" s="51" t="s">
        <v>39</v>
      </c>
      <c r="C77" s="9" t="s">
        <v>135</v>
      </c>
      <c r="D77" s="8" t="s">
        <v>197</v>
      </c>
      <c r="E77" s="8" t="str">
        <f t="shared" si="9"/>
        <v>GALLARDO BUSTILLOS GENESIS ESTEFANIAOTRAS CATEGORIAS</v>
      </c>
      <c r="F77" s="28">
        <v>0</v>
      </c>
      <c r="G77" s="28">
        <v>0</v>
      </c>
      <c r="H77" s="28">
        <v>0</v>
      </c>
      <c r="I77" s="34">
        <f t="shared" si="10"/>
        <v>0</v>
      </c>
      <c r="J77" s="29"/>
      <c r="K77" s="30">
        <f t="shared" si="11"/>
        <v>0</v>
      </c>
      <c r="L77" s="31">
        <f t="shared" si="12"/>
        <v>0</v>
      </c>
      <c r="M77" s="32">
        <v>0</v>
      </c>
      <c r="N77" s="32">
        <v>0</v>
      </c>
      <c r="O77" s="32">
        <v>0</v>
      </c>
      <c r="P77" s="81">
        <v>0</v>
      </c>
      <c r="Q77" s="10"/>
      <c r="R77" s="33">
        <f t="shared" si="17"/>
        <v>0</v>
      </c>
      <c r="S77" s="33" t="str">
        <f t="shared" si="14"/>
        <v>NO GANA</v>
      </c>
      <c r="T77" s="33" t="str">
        <f>VLOOKUP(B77,'CUOTA TOTAL'!$B$4:$F$72,5,FALSE)</f>
        <v>NO GANA</v>
      </c>
      <c r="U77" s="31">
        <f t="shared" si="15"/>
        <v>0</v>
      </c>
      <c r="V77" s="31">
        <f t="shared" si="16"/>
        <v>0</v>
      </c>
    </row>
    <row r="78" spans="1:22" ht="14.45">
      <c r="A78" s="7" t="s">
        <v>33</v>
      </c>
      <c r="B78" s="51" t="s">
        <v>47</v>
      </c>
      <c r="C78" s="9" t="s">
        <v>135</v>
      </c>
      <c r="D78" s="8" t="s">
        <v>165</v>
      </c>
      <c r="E78" s="8" t="str">
        <f t="shared" si="9"/>
        <v>SANTANA VERA ALFREDO JOSELITOBARRA</v>
      </c>
      <c r="F78" s="28">
        <v>607.45000000000005</v>
      </c>
      <c r="G78" s="28">
        <v>607.45000000000005</v>
      </c>
      <c r="H78" s="28">
        <v>607.45000000000005</v>
      </c>
      <c r="I78" s="34">
        <f t="shared" si="10"/>
        <v>1822.3500000000001</v>
      </c>
      <c r="J78" s="29">
        <v>1.4999999999999999E-2</v>
      </c>
      <c r="K78" s="30">
        <f t="shared" si="11"/>
        <v>27.335250000000002</v>
      </c>
      <c r="L78" s="31">
        <f t="shared" si="12"/>
        <v>30.068775000000002</v>
      </c>
      <c r="M78" s="32">
        <v>984.73400000000004</v>
      </c>
      <c r="N78" s="32">
        <v>0</v>
      </c>
      <c r="O78" s="32">
        <v>1657.1100000000004</v>
      </c>
      <c r="P78" s="81">
        <v>0</v>
      </c>
      <c r="Q78" s="10">
        <f t="shared" ref="Q78:Q81" si="20">SUM(M78:O78)</f>
        <v>2641.8440000000005</v>
      </c>
      <c r="R78" s="33">
        <f t="shared" si="17"/>
        <v>1.44969078387796</v>
      </c>
      <c r="S78" s="33" t="str">
        <f t="shared" si="14"/>
        <v>GANA</v>
      </c>
      <c r="T78" s="33" t="str">
        <f>VLOOKUP(B78,'CUOTA TOTAL'!$B$4:$F$72,5,FALSE)</f>
        <v>NO GANA</v>
      </c>
      <c r="U78" s="31">
        <f t="shared" si="15"/>
        <v>0</v>
      </c>
      <c r="V78" s="31">
        <f t="shared" si="16"/>
        <v>0</v>
      </c>
    </row>
    <row r="79" spans="1:22" ht="14.45">
      <c r="A79" s="7" t="s">
        <v>33</v>
      </c>
      <c r="B79" s="51" t="s">
        <v>47</v>
      </c>
      <c r="C79" s="9" t="s">
        <v>135</v>
      </c>
      <c r="D79" s="8" t="s">
        <v>193</v>
      </c>
      <c r="E79" s="8" t="str">
        <f t="shared" si="9"/>
        <v>SANTANA VERA ALFREDO JOSELITOCREMA</v>
      </c>
      <c r="F79" s="28">
        <v>1501.25</v>
      </c>
      <c r="G79" s="28">
        <v>1501.25</v>
      </c>
      <c r="H79" s="28">
        <v>1501.25</v>
      </c>
      <c r="I79" s="34">
        <f t="shared" si="10"/>
        <v>4503.75</v>
      </c>
      <c r="J79" s="29">
        <v>3.5000000000000003E-2</v>
      </c>
      <c r="K79" s="30">
        <f t="shared" si="11"/>
        <v>157.63125000000002</v>
      </c>
      <c r="L79" s="31">
        <f t="shared" si="12"/>
        <v>173.39437500000003</v>
      </c>
      <c r="M79" s="32">
        <v>1640.2331999999997</v>
      </c>
      <c r="N79" s="32">
        <v>0</v>
      </c>
      <c r="O79" s="32">
        <v>2814.8429999999998</v>
      </c>
      <c r="P79" s="81">
        <v>0</v>
      </c>
      <c r="Q79" s="10">
        <f t="shared" si="20"/>
        <v>4455.0761999999995</v>
      </c>
      <c r="R79" s="33">
        <f t="shared" si="17"/>
        <v>0.98919260616153193</v>
      </c>
      <c r="S79" s="33" t="str">
        <f t="shared" si="14"/>
        <v>GANA</v>
      </c>
      <c r="T79" s="33" t="str">
        <f>VLOOKUP(B79,'CUOTA TOTAL'!$B$4:$F$72,5,FALSE)</f>
        <v>NO GANA</v>
      </c>
      <c r="U79" s="31">
        <f t="shared" si="15"/>
        <v>0</v>
      </c>
      <c r="V79" s="31">
        <f t="shared" si="16"/>
        <v>0</v>
      </c>
    </row>
    <row r="80" spans="1:22" ht="14.45">
      <c r="A80" s="7" t="s">
        <v>33</v>
      </c>
      <c r="B80" s="51" t="s">
        <v>47</v>
      </c>
      <c r="C80" s="9" t="s">
        <v>135</v>
      </c>
      <c r="D80" s="8" t="s">
        <v>194</v>
      </c>
      <c r="E80" s="8" t="str">
        <f t="shared" si="9"/>
        <v>SANTANA VERA ALFREDO JOSELITOLIQUIDO</v>
      </c>
      <c r="F80" s="28">
        <v>399.98</v>
      </c>
      <c r="G80" s="28">
        <v>399.98</v>
      </c>
      <c r="H80" s="28">
        <v>399.98</v>
      </c>
      <c r="I80" s="34">
        <f t="shared" si="10"/>
        <v>1199.94</v>
      </c>
      <c r="J80" s="29">
        <v>1.4999999999999999E-2</v>
      </c>
      <c r="K80" s="30">
        <f t="shared" si="11"/>
        <v>17.999099999999999</v>
      </c>
      <c r="L80" s="31">
        <f t="shared" si="12"/>
        <v>19.799010000000003</v>
      </c>
      <c r="M80" s="32">
        <v>415.73219999999998</v>
      </c>
      <c r="N80" s="32">
        <v>0</v>
      </c>
      <c r="O80" s="32">
        <v>612.19200000000012</v>
      </c>
      <c r="P80" s="81">
        <v>0</v>
      </c>
      <c r="Q80" s="10">
        <f t="shared" si="20"/>
        <v>1027.9242000000002</v>
      </c>
      <c r="R80" s="33">
        <f t="shared" si="17"/>
        <v>0.85664633231661591</v>
      </c>
      <c r="S80" s="33" t="str">
        <f t="shared" si="14"/>
        <v>GANA</v>
      </c>
      <c r="T80" s="33" t="str">
        <f>VLOOKUP(B80,'CUOTA TOTAL'!$B$4:$F$72,5,FALSE)</f>
        <v>NO GANA</v>
      </c>
      <c r="U80" s="31">
        <f t="shared" si="15"/>
        <v>0</v>
      </c>
      <c r="V80" s="31">
        <f t="shared" si="16"/>
        <v>0</v>
      </c>
    </row>
    <row r="81" spans="1:22" ht="14.45">
      <c r="A81" s="7" t="s">
        <v>33</v>
      </c>
      <c r="B81" s="51" t="s">
        <v>47</v>
      </c>
      <c r="C81" s="9" t="s">
        <v>135</v>
      </c>
      <c r="D81" s="8" t="s">
        <v>196</v>
      </c>
      <c r="E81" s="8" t="str">
        <f t="shared" si="9"/>
        <v>SANTANA VERA ALFREDO JOSELITOPOLVO DETERGENTE</v>
      </c>
      <c r="F81" s="28">
        <v>2460.61</v>
      </c>
      <c r="G81" s="28">
        <v>2460.61</v>
      </c>
      <c r="H81" s="28">
        <v>2460.61</v>
      </c>
      <c r="I81" s="34">
        <f t="shared" si="10"/>
        <v>7381.83</v>
      </c>
      <c r="J81" s="29">
        <v>4.4999999999999998E-2</v>
      </c>
      <c r="K81" s="30">
        <f t="shared" si="11"/>
        <v>332.18234999999999</v>
      </c>
      <c r="L81" s="31">
        <f t="shared" si="12"/>
        <v>365.40058500000004</v>
      </c>
      <c r="M81" s="32">
        <v>2097.7840000000001</v>
      </c>
      <c r="N81" s="32">
        <v>0</v>
      </c>
      <c r="O81" s="32">
        <v>4261.1319999999996</v>
      </c>
      <c r="P81" s="81">
        <v>0</v>
      </c>
      <c r="Q81" s="10">
        <f t="shared" si="20"/>
        <v>6358.9159999999993</v>
      </c>
      <c r="R81" s="33">
        <f t="shared" si="17"/>
        <v>0.86142812825545956</v>
      </c>
      <c r="S81" s="33" t="str">
        <f t="shared" si="14"/>
        <v>GANA</v>
      </c>
      <c r="T81" s="33" t="str">
        <f>VLOOKUP(B81,'CUOTA TOTAL'!$B$4:$F$72,5,FALSE)</f>
        <v>NO GANA</v>
      </c>
      <c r="U81" s="31">
        <f t="shared" si="15"/>
        <v>0</v>
      </c>
      <c r="V81" s="31">
        <f t="shared" si="16"/>
        <v>0</v>
      </c>
    </row>
    <row r="82" spans="1:22" ht="14.45">
      <c r="A82" s="7" t="s">
        <v>33</v>
      </c>
      <c r="B82" s="51" t="s">
        <v>47</v>
      </c>
      <c r="C82" s="9" t="s">
        <v>135</v>
      </c>
      <c r="D82" s="8" t="s">
        <v>197</v>
      </c>
      <c r="E82" s="8" t="str">
        <f t="shared" si="9"/>
        <v>SANTANA VERA ALFREDO JOSELITOOTRAS CATEGORIAS</v>
      </c>
      <c r="F82" s="28">
        <v>40.26</v>
      </c>
      <c r="G82" s="28">
        <v>40.26</v>
      </c>
      <c r="H82" s="28">
        <v>40.26</v>
      </c>
      <c r="I82" s="34">
        <f t="shared" si="10"/>
        <v>120.78</v>
      </c>
      <c r="J82" s="29"/>
      <c r="K82" s="30">
        <f t="shared" si="11"/>
        <v>0</v>
      </c>
      <c r="L82" s="31">
        <f t="shared" si="12"/>
        <v>0</v>
      </c>
      <c r="M82" s="32">
        <v>0</v>
      </c>
      <c r="N82" s="32">
        <v>0</v>
      </c>
      <c r="O82" s="32">
        <v>0</v>
      </c>
      <c r="P82" s="81">
        <v>0</v>
      </c>
      <c r="Q82" s="10">
        <f t="shared" si="13"/>
        <v>0</v>
      </c>
      <c r="R82" s="33">
        <f t="shared" si="17"/>
        <v>0</v>
      </c>
      <c r="S82" s="33" t="str">
        <f t="shared" si="14"/>
        <v>NO GANA</v>
      </c>
      <c r="T82" s="33" t="str">
        <f>VLOOKUP(B82,'CUOTA TOTAL'!$B$4:$F$72,5,FALSE)</f>
        <v>NO GANA</v>
      </c>
      <c r="U82" s="31">
        <f t="shared" si="15"/>
        <v>0</v>
      </c>
      <c r="V82" s="31">
        <f t="shared" si="16"/>
        <v>0</v>
      </c>
    </row>
    <row r="83" spans="1:22" ht="14.45">
      <c r="A83" s="7" t="s">
        <v>33</v>
      </c>
      <c r="B83" s="51" t="s">
        <v>46</v>
      </c>
      <c r="C83" s="9" t="s">
        <v>135</v>
      </c>
      <c r="D83" s="8" t="s">
        <v>165</v>
      </c>
      <c r="E83" s="8" t="str">
        <f t="shared" si="9"/>
        <v>SAMANIEGO TANDAZO BLADIMIR FELIX (SUPER SAV)BARRA</v>
      </c>
      <c r="F83" s="34">
        <v>4058.27</v>
      </c>
      <c r="G83" s="34">
        <v>4058.27</v>
      </c>
      <c r="H83" s="34">
        <v>4058.27</v>
      </c>
      <c r="I83" s="34">
        <f t="shared" si="10"/>
        <v>12174.81</v>
      </c>
      <c r="J83" s="29">
        <v>1.4999999999999999E-2</v>
      </c>
      <c r="K83" s="30">
        <f t="shared" si="11"/>
        <v>182.62214999999998</v>
      </c>
      <c r="L83" s="31">
        <f t="shared" si="12"/>
        <v>200.884365</v>
      </c>
      <c r="M83" s="32">
        <v>2194.6976</v>
      </c>
      <c r="N83" s="32">
        <v>3459.3024000000005</v>
      </c>
      <c r="O83" s="32">
        <v>0</v>
      </c>
      <c r="P83" s="81">
        <v>0</v>
      </c>
      <c r="Q83" s="10">
        <f t="shared" si="13"/>
        <v>5654</v>
      </c>
      <c r="R83" s="33">
        <f t="shared" si="17"/>
        <v>0.46440149784678364</v>
      </c>
      <c r="S83" s="33" t="str">
        <f t="shared" si="14"/>
        <v>NO GANA</v>
      </c>
      <c r="T83" s="33" t="str">
        <f>VLOOKUP(B83,'CUOTA TOTAL'!$B$4:$F$72,5,FALSE)</f>
        <v>NO GANA</v>
      </c>
      <c r="U83" s="31">
        <f t="shared" si="15"/>
        <v>0</v>
      </c>
      <c r="V83" s="31">
        <f t="shared" si="16"/>
        <v>0</v>
      </c>
    </row>
    <row r="84" spans="1:22" ht="14.45">
      <c r="A84" s="7" t="s">
        <v>33</v>
      </c>
      <c r="B84" s="51" t="s">
        <v>46</v>
      </c>
      <c r="C84" s="9" t="s">
        <v>135</v>
      </c>
      <c r="D84" s="8" t="s">
        <v>193</v>
      </c>
      <c r="E84" s="8" t="str">
        <f t="shared" si="9"/>
        <v>SAMANIEGO TANDAZO BLADIMIR FELIX (SUPER SAV)CREMA</v>
      </c>
      <c r="F84" s="34">
        <v>4869.22</v>
      </c>
      <c r="G84" s="34">
        <v>4869.22</v>
      </c>
      <c r="H84" s="34">
        <v>4869.22</v>
      </c>
      <c r="I84" s="34">
        <f t="shared" si="10"/>
        <v>14607.66</v>
      </c>
      <c r="J84" s="29">
        <v>3.5000000000000003E-2</v>
      </c>
      <c r="K84" s="30">
        <f t="shared" si="11"/>
        <v>511.26810000000006</v>
      </c>
      <c r="L84" s="31">
        <f t="shared" si="12"/>
        <v>562.3949100000001</v>
      </c>
      <c r="M84" s="32">
        <v>4409.0285999999996</v>
      </c>
      <c r="N84" s="32">
        <v>5198.8797000000004</v>
      </c>
      <c r="O84" s="32">
        <v>2452.3587000000002</v>
      </c>
      <c r="P84" s="81">
        <v>0</v>
      </c>
      <c r="Q84" s="10">
        <f t="shared" si="13"/>
        <v>12060.267</v>
      </c>
      <c r="R84" s="33">
        <f t="shared" si="17"/>
        <v>0.82561252110194239</v>
      </c>
      <c r="S84" s="33" t="str">
        <f t="shared" si="14"/>
        <v>GANA</v>
      </c>
      <c r="T84" s="33" t="str">
        <f>VLOOKUP(B84,'CUOTA TOTAL'!$B$4:$F$72,5,FALSE)</f>
        <v>NO GANA</v>
      </c>
      <c r="U84" s="31">
        <f t="shared" si="15"/>
        <v>0</v>
      </c>
      <c r="V84" s="31">
        <f t="shared" si="16"/>
        <v>0</v>
      </c>
    </row>
    <row r="85" spans="1:22" ht="14.45">
      <c r="A85" s="7" t="s">
        <v>33</v>
      </c>
      <c r="B85" s="51" t="s">
        <v>46</v>
      </c>
      <c r="C85" s="9" t="s">
        <v>135</v>
      </c>
      <c r="D85" s="8" t="s">
        <v>194</v>
      </c>
      <c r="E85" s="8" t="str">
        <f t="shared" si="9"/>
        <v>SAMANIEGO TANDAZO BLADIMIR FELIX (SUPER SAV)LIQUIDO</v>
      </c>
      <c r="F85" s="34">
        <v>1197.99</v>
      </c>
      <c r="G85" s="34">
        <v>1197.99</v>
      </c>
      <c r="H85" s="34">
        <v>1197.99</v>
      </c>
      <c r="I85" s="34">
        <f t="shared" si="10"/>
        <v>3593.9700000000003</v>
      </c>
      <c r="J85" s="29">
        <v>1.4999999999999999E-2</v>
      </c>
      <c r="K85" s="30">
        <f t="shared" si="11"/>
        <v>53.909550000000003</v>
      </c>
      <c r="L85" s="31">
        <f t="shared" si="12"/>
        <v>59.300505000000008</v>
      </c>
      <c r="M85" s="32">
        <v>934.1712</v>
      </c>
      <c r="N85" s="32">
        <v>348.30960000000005</v>
      </c>
      <c r="O85" s="32">
        <v>1404.72</v>
      </c>
      <c r="P85" s="81">
        <v>0</v>
      </c>
      <c r="Q85" s="10">
        <f t="shared" si="13"/>
        <v>2687.2008000000001</v>
      </c>
      <c r="R85" s="33">
        <f t="shared" si="17"/>
        <v>0.74769705924089513</v>
      </c>
      <c r="S85" s="33" t="str">
        <f t="shared" si="14"/>
        <v>NO GANA</v>
      </c>
      <c r="T85" s="33" t="str">
        <f>VLOOKUP(B85,'CUOTA TOTAL'!$B$4:$F$72,5,FALSE)</f>
        <v>NO GANA</v>
      </c>
      <c r="U85" s="31">
        <f t="shared" si="15"/>
        <v>0</v>
      </c>
      <c r="V85" s="31">
        <f t="shared" si="16"/>
        <v>0</v>
      </c>
    </row>
    <row r="86" spans="1:22" ht="14.45">
      <c r="A86" s="7" t="s">
        <v>33</v>
      </c>
      <c r="B86" s="51" t="s">
        <v>46</v>
      </c>
      <c r="C86" s="9" t="s">
        <v>135</v>
      </c>
      <c r="D86" s="8" t="s">
        <v>196</v>
      </c>
      <c r="E86" s="8" t="str">
        <f t="shared" si="9"/>
        <v>SAMANIEGO TANDAZO BLADIMIR FELIX (SUPER SAV)POLVO DETERGENTE</v>
      </c>
      <c r="F86" s="34">
        <v>6141.92</v>
      </c>
      <c r="G86" s="34">
        <v>6141.92</v>
      </c>
      <c r="H86" s="34">
        <v>6141.92</v>
      </c>
      <c r="I86" s="34">
        <f t="shared" si="10"/>
        <v>18425.760000000002</v>
      </c>
      <c r="J86" s="29">
        <v>4.4999999999999998E-2</v>
      </c>
      <c r="K86" s="30">
        <f t="shared" si="11"/>
        <v>829.15920000000006</v>
      </c>
      <c r="L86" s="31">
        <f t="shared" si="12"/>
        <v>912.07512000000008</v>
      </c>
      <c r="M86" s="32">
        <v>4361.5691999999999</v>
      </c>
      <c r="N86" s="32">
        <v>6613.7958000000008</v>
      </c>
      <c r="O86" s="32">
        <v>0</v>
      </c>
      <c r="P86" s="81">
        <v>0</v>
      </c>
      <c r="Q86" s="10">
        <f t="shared" si="13"/>
        <v>10975.365000000002</v>
      </c>
      <c r="R86" s="33">
        <f t="shared" si="17"/>
        <v>0.59565331362179907</v>
      </c>
      <c r="S86" s="33" t="str">
        <f t="shared" si="14"/>
        <v>NO GANA</v>
      </c>
      <c r="T86" s="33" t="str">
        <f>VLOOKUP(B86,'CUOTA TOTAL'!$B$4:$F$72,5,FALSE)</f>
        <v>NO GANA</v>
      </c>
      <c r="U86" s="31">
        <f t="shared" si="15"/>
        <v>0</v>
      </c>
      <c r="V86" s="31">
        <f t="shared" si="16"/>
        <v>0</v>
      </c>
    </row>
    <row r="87" spans="1:22" ht="14.45">
      <c r="A87" s="7" t="s">
        <v>33</v>
      </c>
      <c r="B87" s="51" t="s">
        <v>46</v>
      </c>
      <c r="C87" s="9" t="s">
        <v>135</v>
      </c>
      <c r="D87" s="8" t="s">
        <v>197</v>
      </c>
      <c r="E87" s="8" t="str">
        <f t="shared" si="9"/>
        <v>SAMANIEGO TANDAZO BLADIMIR FELIX (SUPER SAV)OTRAS CATEGORIAS</v>
      </c>
      <c r="F87" s="34"/>
      <c r="G87" s="34"/>
      <c r="H87" s="34"/>
      <c r="I87" s="34">
        <f t="shared" si="10"/>
        <v>0</v>
      </c>
      <c r="J87" s="29"/>
      <c r="K87" s="30">
        <f t="shared" si="11"/>
        <v>0</v>
      </c>
      <c r="L87" s="31">
        <f t="shared" si="12"/>
        <v>0</v>
      </c>
      <c r="M87" s="32">
        <v>0</v>
      </c>
      <c r="N87" s="32">
        <v>0</v>
      </c>
      <c r="O87" s="32">
        <v>0</v>
      </c>
      <c r="P87" s="81">
        <v>0</v>
      </c>
      <c r="Q87" s="10">
        <f t="shared" si="13"/>
        <v>0</v>
      </c>
      <c r="R87" s="33">
        <f t="shared" si="17"/>
        <v>0</v>
      </c>
      <c r="S87" s="33" t="str">
        <f t="shared" si="14"/>
        <v>NO GANA</v>
      </c>
      <c r="T87" s="33" t="str">
        <f>VLOOKUP(B87,'CUOTA TOTAL'!$B$4:$F$72,5,FALSE)</f>
        <v>NO GANA</v>
      </c>
      <c r="U87" s="31">
        <f t="shared" si="15"/>
        <v>0</v>
      </c>
      <c r="V87" s="31">
        <f t="shared" si="16"/>
        <v>0</v>
      </c>
    </row>
    <row r="88" spans="1:22" ht="14.45">
      <c r="A88" s="7" t="s">
        <v>49</v>
      </c>
      <c r="B88" s="51" t="s">
        <v>65</v>
      </c>
      <c r="C88" s="9" t="s">
        <v>135</v>
      </c>
      <c r="D88" s="8" t="s">
        <v>165</v>
      </c>
      <c r="E88" s="8" t="str">
        <f t="shared" si="9"/>
        <v>ROXANA VILLACIS S.A. ROXVILLBARRA</v>
      </c>
      <c r="F88" s="28">
        <v>8277</v>
      </c>
      <c r="G88" s="28">
        <v>8277</v>
      </c>
      <c r="H88" s="28">
        <v>8277</v>
      </c>
      <c r="I88" s="34">
        <f t="shared" si="10"/>
        <v>24831</v>
      </c>
      <c r="J88" s="29">
        <v>1.4999999999999999E-2</v>
      </c>
      <c r="K88" s="30">
        <f t="shared" si="11"/>
        <v>372.46499999999997</v>
      </c>
      <c r="L88" s="31">
        <f t="shared" si="12"/>
        <v>409.7115</v>
      </c>
      <c r="M88" s="32">
        <v>6959.0711999999985</v>
      </c>
      <c r="N88" s="32">
        <v>8296.391999999998</v>
      </c>
      <c r="O88" s="32">
        <v>8429.4696000000004</v>
      </c>
      <c r="P88" s="81">
        <v>0</v>
      </c>
      <c r="Q88" s="10">
        <f t="shared" si="13"/>
        <v>23684.932799999995</v>
      </c>
      <c r="R88" s="33">
        <f t="shared" si="17"/>
        <v>0.95384530627038766</v>
      </c>
      <c r="S88" s="33" t="str">
        <f t="shared" si="14"/>
        <v>GANA</v>
      </c>
      <c r="T88" s="33" t="str">
        <f>VLOOKUP(B88,'CUOTA TOTAL'!$B$4:$F$72,5,FALSE)</f>
        <v>NO GANA</v>
      </c>
      <c r="U88" s="31">
        <f t="shared" si="15"/>
        <v>0</v>
      </c>
      <c r="V88" s="31">
        <f t="shared" si="16"/>
        <v>0</v>
      </c>
    </row>
    <row r="89" spans="1:22" ht="14.45">
      <c r="A89" s="7" t="s">
        <v>49</v>
      </c>
      <c r="B89" s="51" t="s">
        <v>65</v>
      </c>
      <c r="C89" s="9" t="s">
        <v>135</v>
      </c>
      <c r="D89" s="8" t="s">
        <v>193</v>
      </c>
      <c r="E89" s="8" t="str">
        <f t="shared" si="9"/>
        <v>ROXANA VILLACIS S.A. ROXVILLCREMA</v>
      </c>
      <c r="F89" s="28">
        <v>3700</v>
      </c>
      <c r="G89" s="28">
        <v>3700</v>
      </c>
      <c r="H89" s="28">
        <v>3700</v>
      </c>
      <c r="I89" s="34">
        <f t="shared" si="10"/>
        <v>11100</v>
      </c>
      <c r="J89" s="29">
        <v>3.5000000000000003E-2</v>
      </c>
      <c r="K89" s="30">
        <f t="shared" si="11"/>
        <v>388.50000000000006</v>
      </c>
      <c r="L89" s="31">
        <f t="shared" si="12"/>
        <v>427.35000000000008</v>
      </c>
      <c r="M89" s="32">
        <v>3883.6979999999999</v>
      </c>
      <c r="N89" s="32">
        <v>4822.2936</v>
      </c>
      <c r="O89" s="32">
        <v>3115.1736000000001</v>
      </c>
      <c r="P89" s="81">
        <v>0</v>
      </c>
      <c r="Q89" s="10">
        <f t="shared" si="13"/>
        <v>11821.165199999999</v>
      </c>
      <c r="R89" s="33">
        <f t="shared" si="17"/>
        <v>1.0649698378378378</v>
      </c>
      <c r="S89" s="33" t="str">
        <f t="shared" si="14"/>
        <v>GANA</v>
      </c>
      <c r="T89" s="33" t="str">
        <f>VLOOKUP(B89,'CUOTA TOTAL'!$B$4:$F$72,5,FALSE)</f>
        <v>NO GANA</v>
      </c>
      <c r="U89" s="31">
        <f t="shared" si="15"/>
        <v>0</v>
      </c>
      <c r="V89" s="31">
        <f t="shared" si="16"/>
        <v>0</v>
      </c>
    </row>
    <row r="90" spans="1:22" ht="14.45">
      <c r="A90" s="7" t="s">
        <v>49</v>
      </c>
      <c r="B90" s="51" t="s">
        <v>65</v>
      </c>
      <c r="C90" s="9" t="s">
        <v>135</v>
      </c>
      <c r="D90" s="8" t="s">
        <v>194</v>
      </c>
      <c r="E90" s="8" t="str">
        <f t="shared" si="9"/>
        <v>ROXANA VILLACIS S.A. ROXVILLLIQUIDO</v>
      </c>
      <c r="F90" s="28">
        <v>1436</v>
      </c>
      <c r="G90" s="28">
        <v>1436</v>
      </c>
      <c r="H90" s="28">
        <v>1436</v>
      </c>
      <c r="I90" s="34">
        <f t="shared" si="10"/>
        <v>4308</v>
      </c>
      <c r="J90" s="29">
        <v>1.4999999999999999E-2</v>
      </c>
      <c r="K90" s="30">
        <f t="shared" si="11"/>
        <v>64.62</v>
      </c>
      <c r="L90" s="31">
        <f t="shared" si="12"/>
        <v>71.081999999999994</v>
      </c>
      <c r="M90" s="32">
        <v>1542.4200000000005</v>
      </c>
      <c r="N90" s="32">
        <v>1542.4200000000005</v>
      </c>
      <c r="O90" s="32">
        <v>1380.0600000000002</v>
      </c>
      <c r="P90" s="81">
        <v>0</v>
      </c>
      <c r="Q90" s="10">
        <f t="shared" si="13"/>
        <v>4464.9000000000015</v>
      </c>
      <c r="R90" s="33">
        <f t="shared" si="17"/>
        <v>1.0364206128133708</v>
      </c>
      <c r="S90" s="33" t="str">
        <f t="shared" si="14"/>
        <v>GANA</v>
      </c>
      <c r="T90" s="33" t="str">
        <f>VLOOKUP(B90,'CUOTA TOTAL'!$B$4:$F$72,5,FALSE)</f>
        <v>NO GANA</v>
      </c>
      <c r="U90" s="31">
        <f t="shared" si="15"/>
        <v>0</v>
      </c>
      <c r="V90" s="31">
        <f t="shared" si="16"/>
        <v>0</v>
      </c>
    </row>
    <row r="91" spans="1:22" ht="14.45">
      <c r="A91" s="7" t="s">
        <v>49</v>
      </c>
      <c r="B91" s="51" t="s">
        <v>65</v>
      </c>
      <c r="C91" s="9" t="s">
        <v>135</v>
      </c>
      <c r="D91" s="8" t="s">
        <v>196</v>
      </c>
      <c r="E91" s="8" t="str">
        <f t="shared" si="9"/>
        <v>ROXANA VILLACIS S.A. ROXVILLPOLVO DETERGENTE</v>
      </c>
      <c r="F91" s="28">
        <v>5582</v>
      </c>
      <c r="G91" s="28">
        <v>5582</v>
      </c>
      <c r="H91" s="28">
        <v>5582</v>
      </c>
      <c r="I91" s="34">
        <f t="shared" si="10"/>
        <v>16746</v>
      </c>
      <c r="J91" s="29">
        <v>4.4999999999999998E-2</v>
      </c>
      <c r="K91" s="30">
        <f t="shared" si="11"/>
        <v>753.56999999999994</v>
      </c>
      <c r="L91" s="31">
        <f t="shared" si="12"/>
        <v>828.92700000000002</v>
      </c>
      <c r="M91" s="32">
        <v>3861.9776000000002</v>
      </c>
      <c r="N91" s="32">
        <v>6602.1511999999993</v>
      </c>
      <c r="O91" s="32">
        <v>4780.9255999999996</v>
      </c>
      <c r="P91" s="81">
        <v>0</v>
      </c>
      <c r="Q91" s="10">
        <f t="shared" si="13"/>
        <v>15245.054399999997</v>
      </c>
      <c r="R91" s="33">
        <f t="shared" si="17"/>
        <v>0.91036990326047995</v>
      </c>
      <c r="S91" s="33" t="str">
        <f t="shared" si="14"/>
        <v>GANA</v>
      </c>
      <c r="T91" s="33" t="str">
        <f>VLOOKUP(B91,'CUOTA TOTAL'!$B$4:$F$72,5,FALSE)</f>
        <v>NO GANA</v>
      </c>
      <c r="U91" s="31">
        <f t="shared" si="15"/>
        <v>0</v>
      </c>
      <c r="V91" s="31">
        <f t="shared" si="16"/>
        <v>0</v>
      </c>
    </row>
    <row r="92" spans="1:22" ht="14.45">
      <c r="A92" s="7" t="s">
        <v>49</v>
      </c>
      <c r="B92" s="51" t="s">
        <v>65</v>
      </c>
      <c r="C92" s="9" t="s">
        <v>135</v>
      </c>
      <c r="D92" s="8" t="s">
        <v>197</v>
      </c>
      <c r="E92" s="8" t="str">
        <f t="shared" si="9"/>
        <v>ROXANA VILLACIS S.A. ROXVILLOTRAS CATEGORIAS</v>
      </c>
      <c r="F92" s="28">
        <v>61</v>
      </c>
      <c r="G92" s="28">
        <v>61</v>
      </c>
      <c r="H92" s="28">
        <v>61</v>
      </c>
      <c r="I92" s="34">
        <f t="shared" si="10"/>
        <v>183</v>
      </c>
      <c r="J92" s="69"/>
      <c r="K92" s="30">
        <f t="shared" si="11"/>
        <v>0</v>
      </c>
      <c r="L92" s="31">
        <f t="shared" si="12"/>
        <v>0</v>
      </c>
      <c r="M92" s="32">
        <v>0</v>
      </c>
      <c r="N92" s="32">
        <v>0</v>
      </c>
      <c r="O92" s="32">
        <v>0</v>
      </c>
      <c r="P92" s="81">
        <v>0</v>
      </c>
      <c r="Q92" s="10">
        <f t="shared" si="13"/>
        <v>0</v>
      </c>
      <c r="R92" s="33">
        <f t="shared" si="17"/>
        <v>0</v>
      </c>
      <c r="S92" s="33" t="str">
        <f t="shared" si="14"/>
        <v>NO GANA</v>
      </c>
      <c r="T92" s="33" t="str">
        <f>VLOOKUP(B92,'CUOTA TOTAL'!$B$4:$F$72,5,FALSE)</f>
        <v>NO GANA</v>
      </c>
      <c r="U92" s="31">
        <f t="shared" si="15"/>
        <v>0</v>
      </c>
      <c r="V92" s="31">
        <f t="shared" si="16"/>
        <v>0</v>
      </c>
    </row>
    <row r="93" spans="1:22" ht="14.45">
      <c r="A93" s="7" t="s">
        <v>33</v>
      </c>
      <c r="B93" s="59" t="s">
        <v>45</v>
      </c>
      <c r="C93" s="9" t="s">
        <v>135</v>
      </c>
      <c r="D93" s="8" t="s">
        <v>165</v>
      </c>
      <c r="E93" s="8" t="str">
        <f t="shared" si="9"/>
        <v>QUICHIMBO DIAZ CENELIA DEL CISNEBARRA</v>
      </c>
      <c r="F93" s="34">
        <v>5880.92</v>
      </c>
      <c r="G93" s="34">
        <v>5880.92</v>
      </c>
      <c r="H93" s="34">
        <v>5880.92</v>
      </c>
      <c r="I93" s="34">
        <f t="shared" si="10"/>
        <v>17642.760000000002</v>
      </c>
      <c r="J93" s="29">
        <v>1.4999999999999999E-2</v>
      </c>
      <c r="K93" s="30">
        <f t="shared" ref="K93:K151" si="21">+I93*J93</f>
        <v>264.64140000000003</v>
      </c>
      <c r="L93" s="31">
        <f t="shared" ref="L93:L151" si="22">(I93*1.1)*J93</f>
        <v>291.10554000000002</v>
      </c>
      <c r="M93" s="32">
        <v>1329.9104</v>
      </c>
      <c r="N93" s="32">
        <v>5417.4047999999993</v>
      </c>
      <c r="O93" s="32">
        <v>4786.395199999999</v>
      </c>
      <c r="P93" s="81">
        <v>0</v>
      </c>
      <c r="Q93" s="10">
        <f t="shared" si="13"/>
        <v>11533.710399999998</v>
      </c>
      <c r="R93" s="33">
        <f t="shared" si="17"/>
        <v>0.65373617279836016</v>
      </c>
      <c r="S93" s="33" t="str">
        <f t="shared" si="14"/>
        <v>NO GANA</v>
      </c>
      <c r="T93" s="33" t="str">
        <f>VLOOKUP(B93,'CUOTA TOTAL'!$B$4:$F$72,5,FALSE)</f>
        <v>NO GANA</v>
      </c>
      <c r="U93" s="31">
        <f t="shared" si="15"/>
        <v>0</v>
      </c>
      <c r="V93" s="31">
        <f t="shared" si="16"/>
        <v>0</v>
      </c>
    </row>
    <row r="94" spans="1:22" ht="14.45">
      <c r="A94" s="7" t="s">
        <v>33</v>
      </c>
      <c r="B94" s="59" t="s">
        <v>45</v>
      </c>
      <c r="C94" s="9" t="s">
        <v>135</v>
      </c>
      <c r="D94" s="8" t="s">
        <v>193</v>
      </c>
      <c r="E94" s="8" t="str">
        <f t="shared" si="9"/>
        <v>QUICHIMBO DIAZ CENELIA DEL CISNECREMA</v>
      </c>
      <c r="F94" s="34">
        <v>11649.86</v>
      </c>
      <c r="G94" s="34">
        <v>11649.86</v>
      </c>
      <c r="H94" s="34">
        <v>11649.86</v>
      </c>
      <c r="I94" s="34">
        <f t="shared" si="10"/>
        <v>34949.58</v>
      </c>
      <c r="J94" s="29">
        <v>3.5000000000000003E-2</v>
      </c>
      <c r="K94" s="30">
        <f t="shared" si="21"/>
        <v>1223.2353000000003</v>
      </c>
      <c r="L94" s="31">
        <f t="shared" si="22"/>
        <v>1345.5588300000004</v>
      </c>
      <c r="M94" s="32">
        <v>1131.6266999999998</v>
      </c>
      <c r="N94" s="32">
        <v>11420.858099999985</v>
      </c>
      <c r="O94" s="32">
        <v>7956.8088000000107</v>
      </c>
      <c r="P94" s="81">
        <v>0</v>
      </c>
      <c r="Q94" s="10">
        <f t="shared" si="13"/>
        <v>20509.293599999994</v>
      </c>
      <c r="R94" s="33">
        <f t="shared" si="17"/>
        <v>0.58682518073178536</v>
      </c>
      <c r="S94" s="33" t="str">
        <f t="shared" si="14"/>
        <v>NO GANA</v>
      </c>
      <c r="T94" s="33" t="str">
        <f>VLOOKUP(B94,'CUOTA TOTAL'!$B$4:$F$72,5,FALSE)</f>
        <v>NO GANA</v>
      </c>
      <c r="U94" s="31">
        <f t="shared" si="15"/>
        <v>0</v>
      </c>
      <c r="V94" s="31">
        <f t="shared" si="16"/>
        <v>0</v>
      </c>
    </row>
    <row r="95" spans="1:22" ht="14.45">
      <c r="A95" s="7" t="s">
        <v>33</v>
      </c>
      <c r="B95" s="59" t="s">
        <v>45</v>
      </c>
      <c r="C95" s="9" t="s">
        <v>135</v>
      </c>
      <c r="D95" s="8" t="s">
        <v>194</v>
      </c>
      <c r="E95" s="8" t="str">
        <f t="shared" si="9"/>
        <v>QUICHIMBO DIAZ CENELIA DEL CISNELIQUIDO</v>
      </c>
      <c r="F95" s="34">
        <v>2764.86</v>
      </c>
      <c r="G95" s="34">
        <v>2764.86</v>
      </c>
      <c r="H95" s="34">
        <v>2764.86</v>
      </c>
      <c r="I95" s="34">
        <f t="shared" si="10"/>
        <v>8294.58</v>
      </c>
      <c r="J95" s="29">
        <v>1.4999999999999999E-2</v>
      </c>
      <c r="K95" s="30">
        <f t="shared" si="21"/>
        <v>124.4187</v>
      </c>
      <c r="L95" s="31">
        <f t="shared" si="22"/>
        <v>136.86057</v>
      </c>
      <c r="M95" s="32">
        <v>590.35599999999999</v>
      </c>
      <c r="N95" s="32">
        <v>2159.8896000000004</v>
      </c>
      <c r="O95" s="32">
        <v>1825.4044000000001</v>
      </c>
      <c r="P95" s="81">
        <v>0</v>
      </c>
      <c r="Q95" s="10">
        <f t="shared" si="13"/>
        <v>4575.6500000000005</v>
      </c>
      <c r="R95" s="33">
        <f t="shared" si="17"/>
        <v>0.55164336229200284</v>
      </c>
      <c r="S95" s="33" t="str">
        <f t="shared" si="14"/>
        <v>NO GANA</v>
      </c>
      <c r="T95" s="33" t="str">
        <f>VLOOKUP(B95,'CUOTA TOTAL'!$B$4:$F$72,5,FALSE)</f>
        <v>NO GANA</v>
      </c>
      <c r="U95" s="31">
        <f t="shared" si="15"/>
        <v>0</v>
      </c>
      <c r="V95" s="31">
        <f t="shared" si="16"/>
        <v>0</v>
      </c>
    </row>
    <row r="96" spans="1:22" ht="14.45">
      <c r="A96" s="7" t="s">
        <v>33</v>
      </c>
      <c r="B96" s="59" t="s">
        <v>45</v>
      </c>
      <c r="C96" s="9" t="s">
        <v>135</v>
      </c>
      <c r="D96" s="8" t="s">
        <v>196</v>
      </c>
      <c r="E96" s="8" t="str">
        <f t="shared" si="9"/>
        <v>QUICHIMBO DIAZ CENELIA DEL CISNEPOLVO DETERGENTE</v>
      </c>
      <c r="F96" s="34">
        <v>15523.8</v>
      </c>
      <c r="G96" s="34">
        <v>15523.8</v>
      </c>
      <c r="H96" s="34">
        <v>15523.8</v>
      </c>
      <c r="I96" s="34">
        <f t="shared" si="10"/>
        <v>46571.399999999994</v>
      </c>
      <c r="J96" s="29">
        <v>4.4999999999999998E-2</v>
      </c>
      <c r="K96" s="30">
        <f t="shared" si="21"/>
        <v>2095.7129999999997</v>
      </c>
      <c r="L96" s="31">
        <f t="shared" si="22"/>
        <v>2305.2842999999998</v>
      </c>
      <c r="M96" s="32">
        <v>632.50559999999996</v>
      </c>
      <c r="N96" s="32">
        <v>9333.0704000000005</v>
      </c>
      <c r="O96" s="32">
        <v>7175.3152000000009</v>
      </c>
      <c r="P96" s="81">
        <v>0</v>
      </c>
      <c r="Q96" s="10">
        <f t="shared" si="13"/>
        <v>17140.891200000002</v>
      </c>
      <c r="R96" s="33">
        <f t="shared" si="17"/>
        <v>0.36805617181360245</v>
      </c>
      <c r="S96" s="33" t="str">
        <f t="shared" si="14"/>
        <v>NO GANA</v>
      </c>
      <c r="T96" s="33" t="str">
        <f>VLOOKUP(B96,'CUOTA TOTAL'!$B$4:$F$72,5,FALSE)</f>
        <v>NO GANA</v>
      </c>
      <c r="U96" s="31">
        <f t="shared" si="15"/>
        <v>0</v>
      </c>
      <c r="V96" s="31">
        <f t="shared" si="16"/>
        <v>0</v>
      </c>
    </row>
    <row r="97" spans="1:26" ht="14.45">
      <c r="A97" s="7" t="s">
        <v>33</v>
      </c>
      <c r="B97" s="59" t="s">
        <v>45</v>
      </c>
      <c r="C97" s="9" t="s">
        <v>135</v>
      </c>
      <c r="D97" s="8" t="s">
        <v>197</v>
      </c>
      <c r="E97" s="8" t="str">
        <f t="shared" si="9"/>
        <v>QUICHIMBO DIAZ CENELIA DEL CISNEOTRAS CATEGORIAS</v>
      </c>
      <c r="F97" s="34"/>
      <c r="G97" s="34"/>
      <c r="H97" s="34"/>
      <c r="I97" s="34">
        <f t="shared" si="10"/>
        <v>0</v>
      </c>
      <c r="J97" s="29"/>
      <c r="K97" s="30">
        <f t="shared" si="21"/>
        <v>0</v>
      </c>
      <c r="L97" s="31">
        <f t="shared" si="22"/>
        <v>0</v>
      </c>
      <c r="M97" s="32">
        <v>23.507999999999999</v>
      </c>
      <c r="N97" s="32">
        <v>0</v>
      </c>
      <c r="O97" s="32">
        <v>0</v>
      </c>
      <c r="P97" s="81">
        <v>0</v>
      </c>
      <c r="Q97" s="10">
        <f t="shared" si="13"/>
        <v>23.507999999999999</v>
      </c>
      <c r="R97" s="33">
        <f t="shared" si="17"/>
        <v>0</v>
      </c>
      <c r="S97" s="33" t="str">
        <f t="shared" si="14"/>
        <v>NO GANA</v>
      </c>
      <c r="T97" s="33" t="str">
        <f>VLOOKUP(B97,'CUOTA TOTAL'!$B$4:$F$72,5,FALSE)</f>
        <v>NO GANA</v>
      </c>
      <c r="U97" s="31">
        <f t="shared" si="15"/>
        <v>0</v>
      </c>
      <c r="V97" s="31">
        <f t="shared" si="16"/>
        <v>0</v>
      </c>
    </row>
    <row r="98" spans="1:26" ht="14.45">
      <c r="A98" s="7" t="s">
        <v>49</v>
      </c>
      <c r="B98" s="51" t="s">
        <v>64</v>
      </c>
      <c r="C98" s="9" t="s">
        <v>163</v>
      </c>
      <c r="D98" s="8" t="s">
        <v>165</v>
      </c>
      <c r="E98" s="8" t="str">
        <f t="shared" si="9"/>
        <v>QUELAL SALDAÑA MERY AZUCENABARRA</v>
      </c>
      <c r="F98" s="34">
        <v>2087</v>
      </c>
      <c r="G98" s="34">
        <v>2087</v>
      </c>
      <c r="H98" s="34">
        <v>2087</v>
      </c>
      <c r="I98" s="34">
        <f t="shared" si="10"/>
        <v>6261</v>
      </c>
      <c r="J98" s="29">
        <v>1.4999999999999999E-2</v>
      </c>
      <c r="K98" s="30">
        <f t="shared" si="21"/>
        <v>93.914999999999992</v>
      </c>
      <c r="L98" s="31">
        <f t="shared" si="22"/>
        <v>103.3065</v>
      </c>
      <c r="M98" s="32">
        <v>603.6</v>
      </c>
      <c r="N98" s="32">
        <v>4175.3663999999999</v>
      </c>
      <c r="O98" s="32">
        <v>0</v>
      </c>
      <c r="P98" s="81">
        <v>2390</v>
      </c>
      <c r="Q98" s="10">
        <f t="shared" si="13"/>
        <v>4778.9664000000002</v>
      </c>
      <c r="R98" s="33">
        <f t="shared" si="17"/>
        <v>0.76329123143267852</v>
      </c>
      <c r="S98" s="33" t="str">
        <f t="shared" si="14"/>
        <v>NO GANA</v>
      </c>
      <c r="T98" s="33" t="str">
        <f>VLOOKUP(B98,'CUOTA TOTAL'!$B$4:$F$72,5,FALSE)</f>
        <v>GANA</v>
      </c>
      <c r="U98" s="31">
        <f t="shared" si="15"/>
        <v>0</v>
      </c>
      <c r="V98" s="31">
        <f t="shared" si="16"/>
        <v>0</v>
      </c>
      <c r="Z98">
        <v>1143</v>
      </c>
    </row>
    <row r="99" spans="1:26" ht="14.45">
      <c r="A99" s="7" t="s">
        <v>49</v>
      </c>
      <c r="B99" s="51" t="s">
        <v>64</v>
      </c>
      <c r="C99" s="9" t="s">
        <v>163</v>
      </c>
      <c r="D99" s="8" t="s">
        <v>193</v>
      </c>
      <c r="E99" s="8" t="str">
        <f t="shared" si="9"/>
        <v>QUELAL SALDAÑA MERY AZUCENACREMA</v>
      </c>
      <c r="F99" s="34">
        <v>618</v>
      </c>
      <c r="G99" s="34">
        <v>618</v>
      </c>
      <c r="H99" s="34">
        <v>618</v>
      </c>
      <c r="I99" s="34">
        <f t="shared" si="10"/>
        <v>1854</v>
      </c>
      <c r="J99" s="29">
        <v>1.4999999999999999E-2</v>
      </c>
      <c r="K99" s="30">
        <f t="shared" si="21"/>
        <v>27.81</v>
      </c>
      <c r="L99" s="31">
        <f t="shared" si="22"/>
        <v>30.591000000000001</v>
      </c>
      <c r="M99" s="32">
        <v>817.0086</v>
      </c>
      <c r="N99" s="32">
        <v>725.52239999999995</v>
      </c>
      <c r="O99" s="32">
        <v>0</v>
      </c>
      <c r="P99" s="81">
        <v>2390</v>
      </c>
      <c r="Q99" s="10">
        <f t="shared" si="13"/>
        <v>1542.5309999999999</v>
      </c>
      <c r="R99" s="33">
        <f t="shared" si="17"/>
        <v>0.83200161812297735</v>
      </c>
      <c r="S99" s="33" t="str">
        <f t="shared" si="14"/>
        <v>GANA</v>
      </c>
      <c r="T99" s="33" t="str">
        <f>VLOOKUP(B99,'CUOTA TOTAL'!$B$4:$F$72,5,FALSE)</f>
        <v>GANA</v>
      </c>
      <c r="U99" s="31">
        <f t="shared" si="15"/>
        <v>23.137964999999998</v>
      </c>
      <c r="V99" s="31">
        <f t="shared" si="16"/>
        <v>23.137964999999998</v>
      </c>
    </row>
    <row r="100" spans="1:26" ht="14.45">
      <c r="A100" s="7" t="s">
        <v>49</v>
      </c>
      <c r="B100" s="51" t="s">
        <v>64</v>
      </c>
      <c r="C100" s="9" t="s">
        <v>163</v>
      </c>
      <c r="D100" s="8" t="s">
        <v>194</v>
      </c>
      <c r="E100" s="8" t="str">
        <f t="shared" si="9"/>
        <v>QUELAL SALDAÑA MERY AZUCENALIQUIDO</v>
      </c>
      <c r="F100" s="34">
        <v>37</v>
      </c>
      <c r="G100" s="34">
        <v>37</v>
      </c>
      <c r="H100" s="34">
        <v>37</v>
      </c>
      <c r="I100" s="34">
        <f t="shared" si="10"/>
        <v>111</v>
      </c>
      <c r="J100" s="29">
        <v>1.4999999999999999E-2</v>
      </c>
      <c r="K100" s="30">
        <f t="shared" si="21"/>
        <v>1.665</v>
      </c>
      <c r="L100" s="31">
        <f t="shared" si="22"/>
        <v>1.8315000000000001</v>
      </c>
      <c r="M100" s="32">
        <v>0</v>
      </c>
      <c r="N100" s="32">
        <v>99.830400000000012</v>
      </c>
      <c r="O100" s="32">
        <v>0</v>
      </c>
      <c r="P100" s="81">
        <v>2390</v>
      </c>
      <c r="Q100" s="10">
        <f t="shared" si="13"/>
        <v>99.830400000000012</v>
      </c>
      <c r="R100" s="33">
        <f t="shared" si="17"/>
        <v>0.89937297297297303</v>
      </c>
      <c r="S100" s="33" t="str">
        <f t="shared" si="14"/>
        <v>GANA</v>
      </c>
      <c r="T100" s="33" t="str">
        <f>VLOOKUP(B100,'CUOTA TOTAL'!$B$4:$F$72,5,FALSE)</f>
        <v>GANA</v>
      </c>
      <c r="U100" s="31">
        <f t="shared" si="15"/>
        <v>1.4974560000000001</v>
      </c>
      <c r="V100" s="31">
        <f t="shared" si="16"/>
        <v>1.4974560000000001</v>
      </c>
    </row>
    <row r="101" spans="1:26" ht="14.45">
      <c r="A101" s="7" t="s">
        <v>49</v>
      </c>
      <c r="B101" s="51" t="s">
        <v>64</v>
      </c>
      <c r="C101" s="9" t="s">
        <v>163</v>
      </c>
      <c r="D101" s="8" t="s">
        <v>196</v>
      </c>
      <c r="E101" s="8" t="str">
        <f t="shared" si="9"/>
        <v>QUELAL SALDAÑA MERY AZUCENAPOLVO DETERGENTE</v>
      </c>
      <c r="F101" s="34">
        <v>1769</v>
      </c>
      <c r="G101" s="34">
        <v>1769</v>
      </c>
      <c r="H101" s="34">
        <v>1769</v>
      </c>
      <c r="I101" s="34">
        <f t="shared" si="10"/>
        <v>5307</v>
      </c>
      <c r="J101" s="29">
        <v>1.4999999999999999E-2</v>
      </c>
      <c r="K101" s="30">
        <f t="shared" si="21"/>
        <v>79.605000000000004</v>
      </c>
      <c r="L101" s="31">
        <f t="shared" si="22"/>
        <v>87.565500000000014</v>
      </c>
      <c r="M101" s="32">
        <v>2952.0288</v>
      </c>
      <c r="N101" s="32">
        <v>4874.8487999999998</v>
      </c>
      <c r="O101" s="32">
        <v>0</v>
      </c>
      <c r="P101" s="81">
        <v>2390</v>
      </c>
      <c r="Q101" s="10">
        <f t="shared" si="13"/>
        <v>7826.8775999999998</v>
      </c>
      <c r="R101" s="33">
        <f t="shared" si="17"/>
        <v>1.4748214810627474</v>
      </c>
      <c r="S101" s="33" t="str">
        <f t="shared" si="14"/>
        <v>GANA</v>
      </c>
      <c r="T101" s="33" t="str">
        <f>VLOOKUP(B101,'CUOTA TOTAL'!$B$4:$F$72,5,FALSE)</f>
        <v>GANA</v>
      </c>
      <c r="U101" s="31">
        <f t="shared" si="15"/>
        <v>117.40316399999999</v>
      </c>
      <c r="V101" s="31">
        <f t="shared" si="16"/>
        <v>87.565500000000014</v>
      </c>
    </row>
    <row r="102" spans="1:26" ht="14.45">
      <c r="A102" s="7" t="s">
        <v>49</v>
      </c>
      <c r="B102" s="51" t="s">
        <v>64</v>
      </c>
      <c r="C102" s="9" t="s">
        <v>163</v>
      </c>
      <c r="D102" s="8" t="s">
        <v>197</v>
      </c>
      <c r="E102" s="8" t="str">
        <f t="shared" si="9"/>
        <v>QUELAL SALDAÑA MERY AZUCENAOTRAS CATEGORIAS</v>
      </c>
      <c r="F102" s="34">
        <v>60</v>
      </c>
      <c r="G102" s="34">
        <v>60</v>
      </c>
      <c r="H102" s="34">
        <v>60</v>
      </c>
      <c r="I102" s="34">
        <f t="shared" si="10"/>
        <v>180</v>
      </c>
      <c r="J102" s="69">
        <v>1.4999999999999999E-2</v>
      </c>
      <c r="K102" s="30">
        <f t="shared" si="21"/>
        <v>2.6999999999999997</v>
      </c>
      <c r="L102" s="31">
        <f t="shared" si="22"/>
        <v>2.97</v>
      </c>
      <c r="M102" s="32">
        <v>0</v>
      </c>
      <c r="N102" s="32">
        <v>0</v>
      </c>
      <c r="O102" s="32">
        <v>0</v>
      </c>
      <c r="P102" s="81">
        <v>2390</v>
      </c>
      <c r="Q102" s="10">
        <f t="shared" si="13"/>
        <v>0</v>
      </c>
      <c r="R102" s="33">
        <f t="shared" si="17"/>
        <v>0</v>
      </c>
      <c r="S102" s="33" t="str">
        <f t="shared" si="14"/>
        <v>NO GANA</v>
      </c>
      <c r="T102" s="33" t="str">
        <f>VLOOKUP(B102,'CUOTA TOTAL'!$B$4:$F$72,5,FALSE)</f>
        <v>GANA</v>
      </c>
      <c r="U102" s="31">
        <f t="shared" si="15"/>
        <v>0</v>
      </c>
      <c r="V102" s="31">
        <f t="shared" si="16"/>
        <v>0</v>
      </c>
    </row>
    <row r="103" spans="1:26" ht="14.45">
      <c r="A103" s="7" t="s">
        <v>49</v>
      </c>
      <c r="B103" s="51" t="s">
        <v>63</v>
      </c>
      <c r="C103" s="9" t="s">
        <v>163</v>
      </c>
      <c r="D103" s="8" t="s">
        <v>165</v>
      </c>
      <c r="E103" s="8" t="str">
        <f t="shared" si="9"/>
        <v>QUELAL SALDAÑA MANUEL EDUARDOBARRA</v>
      </c>
      <c r="F103" s="34">
        <v>1514.0406720000001</v>
      </c>
      <c r="G103" s="34">
        <v>1514.0406720000001</v>
      </c>
      <c r="H103" s="34">
        <v>1514.0406720000001</v>
      </c>
      <c r="I103" s="34">
        <f t="shared" si="10"/>
        <v>4542.1220160000003</v>
      </c>
      <c r="J103" s="29">
        <v>1.4999999999999999E-2</v>
      </c>
      <c r="K103" s="30">
        <f t="shared" si="21"/>
        <v>68.131830239999999</v>
      </c>
      <c r="L103" s="31">
        <f t="shared" si="22"/>
        <v>74.945013264000011</v>
      </c>
      <c r="M103" s="32">
        <v>2833.7184000000002</v>
      </c>
      <c r="N103" s="32">
        <v>0</v>
      </c>
      <c r="O103" s="32">
        <v>3689.3328000000006</v>
      </c>
      <c r="P103" s="81">
        <v>0</v>
      </c>
      <c r="Q103" s="10">
        <f t="shared" si="13"/>
        <v>6523.0512000000008</v>
      </c>
      <c r="R103" s="33">
        <f t="shared" si="17"/>
        <v>1.436124167739663</v>
      </c>
      <c r="S103" s="33" t="str">
        <f t="shared" si="14"/>
        <v>GANA</v>
      </c>
      <c r="T103" s="33" t="str">
        <f>VLOOKUP(B103,'CUOTA TOTAL'!$B$4:$F$72,5,FALSE)</f>
        <v>GANA</v>
      </c>
      <c r="U103" s="31">
        <f t="shared" si="15"/>
        <v>97.845768000000007</v>
      </c>
      <c r="V103" s="31">
        <f t="shared" si="16"/>
        <v>74.945013264000011</v>
      </c>
    </row>
    <row r="104" spans="1:26" ht="14.45">
      <c r="A104" s="7" t="s">
        <v>49</v>
      </c>
      <c r="B104" s="51" t="s">
        <v>63</v>
      </c>
      <c r="C104" s="9" t="s">
        <v>163</v>
      </c>
      <c r="D104" s="8" t="s">
        <v>193</v>
      </c>
      <c r="E104" s="8" t="str">
        <f t="shared" si="9"/>
        <v>QUELAL SALDAÑA MANUEL EDUARDOCREMA</v>
      </c>
      <c r="F104" s="34">
        <v>103</v>
      </c>
      <c r="G104" s="34">
        <v>103</v>
      </c>
      <c r="H104" s="34">
        <v>103</v>
      </c>
      <c r="I104" s="34">
        <f t="shared" si="10"/>
        <v>309</v>
      </c>
      <c r="J104" s="29">
        <v>1.4999999999999999E-2</v>
      </c>
      <c r="K104" s="30">
        <f t="shared" si="21"/>
        <v>4.6349999999999998</v>
      </c>
      <c r="L104" s="31">
        <f t="shared" si="22"/>
        <v>5.0985000000000005</v>
      </c>
      <c r="M104" s="32">
        <v>325.44</v>
      </c>
      <c r="N104" s="32">
        <v>0</v>
      </c>
      <c r="O104" s="32">
        <v>925.48860000000013</v>
      </c>
      <c r="P104" s="81">
        <v>0</v>
      </c>
      <c r="Q104" s="10">
        <f t="shared" si="13"/>
        <v>1250.9286000000002</v>
      </c>
      <c r="R104" s="33">
        <f t="shared" si="17"/>
        <v>4.0483126213592238</v>
      </c>
      <c r="S104" s="33" t="str">
        <f t="shared" si="14"/>
        <v>GANA</v>
      </c>
      <c r="T104" s="33" t="str">
        <f>VLOOKUP(B104,'CUOTA TOTAL'!$B$4:$F$72,5,FALSE)</f>
        <v>GANA</v>
      </c>
      <c r="U104" s="31">
        <f t="shared" si="15"/>
        <v>18.763929000000001</v>
      </c>
      <c r="V104" s="31">
        <f t="shared" si="16"/>
        <v>5.0985000000000005</v>
      </c>
    </row>
    <row r="105" spans="1:26" ht="14.45">
      <c r="A105" s="7" t="s">
        <v>49</v>
      </c>
      <c r="B105" s="51" t="s">
        <v>63</v>
      </c>
      <c r="C105" s="9" t="s">
        <v>163</v>
      </c>
      <c r="D105" s="8" t="s">
        <v>194</v>
      </c>
      <c r="E105" s="8" t="str">
        <f t="shared" si="9"/>
        <v>QUELAL SALDAÑA MANUEL EDUARDOLIQUIDO</v>
      </c>
      <c r="F105" s="34">
        <v>500</v>
      </c>
      <c r="G105" s="34">
        <v>500</v>
      </c>
      <c r="H105" s="34">
        <v>500</v>
      </c>
      <c r="I105" s="34">
        <f t="shared" si="10"/>
        <v>1500</v>
      </c>
      <c r="J105" s="29">
        <v>1.4999999999999999E-2</v>
      </c>
      <c r="K105" s="30">
        <f t="shared" si="21"/>
        <v>22.5</v>
      </c>
      <c r="L105" s="31">
        <f t="shared" si="22"/>
        <v>24.750000000000004</v>
      </c>
      <c r="M105" s="32">
        <v>0</v>
      </c>
      <c r="N105" s="32">
        <v>0</v>
      </c>
      <c r="O105" s="32">
        <v>0</v>
      </c>
      <c r="P105" s="81">
        <v>0</v>
      </c>
      <c r="Q105" s="10">
        <f t="shared" si="13"/>
        <v>0</v>
      </c>
      <c r="R105" s="33">
        <f t="shared" si="17"/>
        <v>0</v>
      </c>
      <c r="S105" s="33" t="str">
        <f t="shared" si="14"/>
        <v>NO GANA</v>
      </c>
      <c r="T105" s="33" t="str">
        <f>VLOOKUP(B105,'CUOTA TOTAL'!$B$4:$F$72,5,FALSE)</f>
        <v>GANA</v>
      </c>
      <c r="U105" s="31">
        <f t="shared" si="15"/>
        <v>0</v>
      </c>
      <c r="V105" s="31">
        <f t="shared" si="16"/>
        <v>0</v>
      </c>
    </row>
    <row r="106" spans="1:26" ht="14.45">
      <c r="A106" s="7" t="s">
        <v>49</v>
      </c>
      <c r="B106" s="51" t="s">
        <v>63</v>
      </c>
      <c r="C106" s="9" t="s">
        <v>163</v>
      </c>
      <c r="D106" s="8" t="s">
        <v>196</v>
      </c>
      <c r="E106" s="8" t="str">
        <f t="shared" si="9"/>
        <v>QUELAL SALDAÑA MANUEL EDUARDOPOLVO DETERGENTE</v>
      </c>
      <c r="F106" s="34">
        <v>3752</v>
      </c>
      <c r="G106" s="34">
        <v>3752</v>
      </c>
      <c r="H106" s="34">
        <v>3752</v>
      </c>
      <c r="I106" s="34">
        <f t="shared" si="10"/>
        <v>11256</v>
      </c>
      <c r="J106" s="29">
        <v>1.4999999999999999E-2</v>
      </c>
      <c r="K106" s="30">
        <f t="shared" si="21"/>
        <v>168.84</v>
      </c>
      <c r="L106" s="31">
        <f t="shared" si="22"/>
        <v>185.72399999999999</v>
      </c>
      <c r="M106" s="32">
        <v>5990.6696000000011</v>
      </c>
      <c r="N106" s="32">
        <v>0</v>
      </c>
      <c r="O106" s="32">
        <v>6111.1831999999995</v>
      </c>
      <c r="P106" s="81">
        <v>0</v>
      </c>
      <c r="Q106" s="10">
        <f t="shared" si="13"/>
        <v>12101.852800000001</v>
      </c>
      <c r="R106" s="33">
        <f t="shared" si="17"/>
        <v>1.0751468372423596</v>
      </c>
      <c r="S106" s="33" t="str">
        <f t="shared" si="14"/>
        <v>GANA</v>
      </c>
      <c r="T106" s="33" t="str">
        <f>VLOOKUP(B106,'CUOTA TOTAL'!$B$4:$F$72,5,FALSE)</f>
        <v>GANA</v>
      </c>
      <c r="U106" s="31">
        <f t="shared" si="15"/>
        <v>181.52779200000001</v>
      </c>
      <c r="V106" s="31">
        <f t="shared" si="16"/>
        <v>181.52779200000001</v>
      </c>
    </row>
    <row r="107" spans="1:26" ht="14.45">
      <c r="A107" s="7" t="s">
        <v>49</v>
      </c>
      <c r="B107" s="51" t="s">
        <v>63</v>
      </c>
      <c r="C107" s="9" t="s">
        <v>163</v>
      </c>
      <c r="D107" s="8" t="s">
        <v>197</v>
      </c>
      <c r="E107" s="8" t="str">
        <f t="shared" si="9"/>
        <v>QUELAL SALDAÑA MANUEL EDUARDOOTRAS CATEGORIAS</v>
      </c>
      <c r="F107" s="34">
        <v>60</v>
      </c>
      <c r="G107" s="34">
        <v>60</v>
      </c>
      <c r="H107" s="34">
        <v>60</v>
      </c>
      <c r="I107" s="34">
        <f t="shared" si="10"/>
        <v>180</v>
      </c>
      <c r="J107" s="69">
        <v>1.4999999999999999E-2</v>
      </c>
      <c r="K107" s="30">
        <f t="shared" si="21"/>
        <v>2.6999999999999997</v>
      </c>
      <c r="L107" s="31">
        <f t="shared" si="22"/>
        <v>2.97</v>
      </c>
      <c r="M107" s="32">
        <v>0</v>
      </c>
      <c r="N107" s="32">
        <v>0</v>
      </c>
      <c r="O107" s="32">
        <v>0</v>
      </c>
      <c r="P107" s="81">
        <v>0</v>
      </c>
      <c r="Q107" s="10">
        <f t="shared" si="13"/>
        <v>0</v>
      </c>
      <c r="R107" s="33">
        <f t="shared" si="17"/>
        <v>0</v>
      </c>
      <c r="S107" s="33" t="str">
        <f t="shared" si="14"/>
        <v>NO GANA</v>
      </c>
      <c r="T107" s="33" t="str">
        <f>VLOOKUP(B107,'CUOTA TOTAL'!$B$4:$F$72,5,FALSE)</f>
        <v>GANA</v>
      </c>
      <c r="U107" s="31">
        <f t="shared" si="15"/>
        <v>0</v>
      </c>
      <c r="V107" s="31">
        <f t="shared" si="16"/>
        <v>0</v>
      </c>
    </row>
    <row r="108" spans="1:26" ht="14.45">
      <c r="A108" s="7" t="s">
        <v>5</v>
      </c>
      <c r="B108" s="51" t="s">
        <v>18</v>
      </c>
      <c r="C108" s="9" t="s">
        <v>135</v>
      </c>
      <c r="D108" s="8" t="s">
        <v>165</v>
      </c>
      <c r="E108" s="8" t="str">
        <f t="shared" si="9"/>
        <v>PIGUAVE BELLO CATTYBARRA</v>
      </c>
      <c r="F108" s="28">
        <v>640.22</v>
      </c>
      <c r="G108" s="28">
        <v>640.22</v>
      </c>
      <c r="H108" s="28">
        <v>640.22</v>
      </c>
      <c r="I108" s="34">
        <f t="shared" si="10"/>
        <v>1920.66</v>
      </c>
      <c r="J108" s="29">
        <v>1.4999999999999999E-2</v>
      </c>
      <c r="K108" s="30">
        <f t="shared" si="21"/>
        <v>28.809899999999999</v>
      </c>
      <c r="L108" s="31">
        <f t="shared" si="22"/>
        <v>31.69089</v>
      </c>
      <c r="M108" s="32">
        <v>664.12920000000008</v>
      </c>
      <c r="N108" s="32">
        <v>456.54999999999995</v>
      </c>
      <c r="O108" s="32">
        <v>1107.6032</v>
      </c>
      <c r="P108" s="81">
        <v>0</v>
      </c>
      <c r="Q108" s="10">
        <f t="shared" si="13"/>
        <v>2228.2824000000001</v>
      </c>
      <c r="R108" s="33">
        <f t="shared" si="17"/>
        <v>1.1601649433007404</v>
      </c>
      <c r="S108" s="33" t="str">
        <f t="shared" si="14"/>
        <v>GANA</v>
      </c>
      <c r="T108" s="33" t="str">
        <f>VLOOKUP(B108,'CUOTA TOTAL'!$B$4:$F$72,5,FALSE)</f>
        <v>GANA</v>
      </c>
      <c r="U108" s="31">
        <f t="shared" si="15"/>
        <v>33.424236000000001</v>
      </c>
      <c r="V108" s="31">
        <f t="shared" si="16"/>
        <v>31.69089</v>
      </c>
    </row>
    <row r="109" spans="1:26" ht="14.45">
      <c r="A109" s="7" t="s">
        <v>5</v>
      </c>
      <c r="B109" s="51" t="s">
        <v>18</v>
      </c>
      <c r="C109" s="9" t="s">
        <v>135</v>
      </c>
      <c r="D109" s="8" t="s">
        <v>193</v>
      </c>
      <c r="E109" s="8" t="str">
        <f t="shared" si="9"/>
        <v>PIGUAVE BELLO CATTYCREMA</v>
      </c>
      <c r="F109" s="28">
        <v>579.02</v>
      </c>
      <c r="G109" s="28">
        <v>579.02</v>
      </c>
      <c r="H109" s="28">
        <v>579.02</v>
      </c>
      <c r="I109" s="34">
        <f t="shared" si="10"/>
        <v>1737.06</v>
      </c>
      <c r="J109" s="29">
        <v>3.5000000000000003E-2</v>
      </c>
      <c r="K109" s="30">
        <f t="shared" si="21"/>
        <v>60.7971</v>
      </c>
      <c r="L109" s="31">
        <f t="shared" si="22"/>
        <v>66.876810000000006</v>
      </c>
      <c r="M109" s="32">
        <v>705.76260000000013</v>
      </c>
      <c r="N109" s="32">
        <v>0</v>
      </c>
      <c r="O109" s="32">
        <v>1086.3671999999999</v>
      </c>
      <c r="P109" s="81">
        <v>0</v>
      </c>
      <c r="Q109" s="10">
        <f t="shared" si="13"/>
        <v>1792.1298000000002</v>
      </c>
      <c r="R109" s="33">
        <f t="shared" si="17"/>
        <v>1.0317028772753964</v>
      </c>
      <c r="S109" s="33" t="str">
        <f t="shared" si="14"/>
        <v>GANA</v>
      </c>
      <c r="T109" s="33" t="str">
        <f>VLOOKUP(B109,'CUOTA TOTAL'!$B$4:$F$72,5,FALSE)</f>
        <v>GANA</v>
      </c>
      <c r="U109" s="31">
        <f t="shared" si="15"/>
        <v>62.724543000000011</v>
      </c>
      <c r="V109" s="31">
        <f t="shared" si="16"/>
        <v>62.724543000000011</v>
      </c>
    </row>
    <row r="110" spans="1:26" ht="14.45">
      <c r="A110" s="7" t="s">
        <v>5</v>
      </c>
      <c r="B110" s="51" t="s">
        <v>18</v>
      </c>
      <c r="C110" s="9" t="s">
        <v>135</v>
      </c>
      <c r="D110" s="8" t="s">
        <v>194</v>
      </c>
      <c r="E110" s="8" t="str">
        <f t="shared" si="9"/>
        <v>PIGUAVE BELLO CATTYLIQUIDO</v>
      </c>
      <c r="F110" s="28">
        <v>387.59999999999997</v>
      </c>
      <c r="G110" s="28">
        <v>387.59999999999997</v>
      </c>
      <c r="H110" s="28">
        <v>387.59999999999997</v>
      </c>
      <c r="I110" s="34">
        <f t="shared" si="10"/>
        <v>1162.8</v>
      </c>
      <c r="J110" s="29">
        <v>1.4999999999999999E-2</v>
      </c>
      <c r="K110" s="30">
        <f t="shared" si="21"/>
        <v>17.442</v>
      </c>
      <c r="L110" s="31">
        <f t="shared" si="22"/>
        <v>19.186200000000003</v>
      </c>
      <c r="M110" s="32">
        <v>487.0256</v>
      </c>
      <c r="N110" s="32">
        <v>162.36000000000001</v>
      </c>
      <c r="O110" s="32">
        <v>394.49280000000005</v>
      </c>
      <c r="P110" s="81">
        <v>0</v>
      </c>
      <c r="Q110" s="10">
        <f t="shared" si="13"/>
        <v>1043.8784000000001</v>
      </c>
      <c r="R110" s="33">
        <f t="shared" si="17"/>
        <v>0.89772824217406266</v>
      </c>
      <c r="S110" s="33" t="str">
        <f t="shared" si="14"/>
        <v>GANA</v>
      </c>
      <c r="T110" s="33" t="str">
        <f>VLOOKUP(B110,'CUOTA TOTAL'!$B$4:$F$72,5,FALSE)</f>
        <v>GANA</v>
      </c>
      <c r="U110" s="31">
        <f t="shared" si="15"/>
        <v>15.658176000000001</v>
      </c>
      <c r="V110" s="31">
        <f t="shared" si="16"/>
        <v>15.658176000000001</v>
      </c>
    </row>
    <row r="111" spans="1:26" ht="14.45">
      <c r="A111" s="7" t="s">
        <v>5</v>
      </c>
      <c r="B111" s="51" t="s">
        <v>18</v>
      </c>
      <c r="C111" s="9" t="s">
        <v>135</v>
      </c>
      <c r="D111" s="8" t="s">
        <v>196</v>
      </c>
      <c r="E111" s="8" t="str">
        <f t="shared" si="9"/>
        <v>PIGUAVE BELLO CATTYPOLVO DETERGENTE</v>
      </c>
      <c r="F111" s="28">
        <v>1274.32</v>
      </c>
      <c r="G111" s="28">
        <v>1274.32</v>
      </c>
      <c r="H111" s="28">
        <v>1274.32</v>
      </c>
      <c r="I111" s="34">
        <f t="shared" si="10"/>
        <v>3822.96</v>
      </c>
      <c r="J111" s="29">
        <v>4.4999999999999998E-2</v>
      </c>
      <c r="K111" s="30">
        <f t="shared" si="21"/>
        <v>172.03319999999999</v>
      </c>
      <c r="L111" s="31">
        <f t="shared" si="22"/>
        <v>189.23652000000001</v>
      </c>
      <c r="M111" s="32">
        <v>1316.172</v>
      </c>
      <c r="N111" s="32">
        <v>0</v>
      </c>
      <c r="O111" s="32">
        <v>2429.7200000000003</v>
      </c>
      <c r="P111" s="81">
        <v>0</v>
      </c>
      <c r="Q111" s="10">
        <f t="shared" si="13"/>
        <v>3745.8920000000003</v>
      </c>
      <c r="R111" s="33">
        <f t="shared" si="17"/>
        <v>0.97984075166886397</v>
      </c>
      <c r="S111" s="33" t="str">
        <f t="shared" si="14"/>
        <v>GANA</v>
      </c>
      <c r="T111" s="33" t="str">
        <f>VLOOKUP(B111,'CUOTA TOTAL'!$B$4:$F$72,5,FALSE)</f>
        <v>GANA</v>
      </c>
      <c r="U111" s="31">
        <f t="shared" si="15"/>
        <v>168.56514000000001</v>
      </c>
      <c r="V111" s="31">
        <f t="shared" si="16"/>
        <v>168.56514000000001</v>
      </c>
    </row>
    <row r="112" spans="1:26" ht="14.45">
      <c r="A112" s="7" t="s">
        <v>5</v>
      </c>
      <c r="B112" s="51" t="s">
        <v>18</v>
      </c>
      <c r="C112" s="9" t="s">
        <v>135</v>
      </c>
      <c r="D112" s="8" t="s">
        <v>197</v>
      </c>
      <c r="E112" s="8" t="str">
        <f t="shared" si="9"/>
        <v>PIGUAVE BELLO CATTYOTRAS CATEGORIAS</v>
      </c>
      <c r="F112" s="28"/>
      <c r="G112" s="28"/>
      <c r="H112" s="28"/>
      <c r="I112" s="34">
        <f t="shared" si="10"/>
        <v>0</v>
      </c>
      <c r="J112" s="29"/>
      <c r="K112" s="30">
        <f t="shared" si="21"/>
        <v>0</v>
      </c>
      <c r="L112" s="31">
        <f t="shared" si="22"/>
        <v>0</v>
      </c>
      <c r="M112" s="32">
        <v>11.754</v>
      </c>
      <c r="N112" s="32">
        <v>0</v>
      </c>
      <c r="O112" s="32">
        <v>0</v>
      </c>
      <c r="P112" s="81">
        <v>0</v>
      </c>
      <c r="Q112" s="10">
        <f t="shared" si="13"/>
        <v>11.754</v>
      </c>
      <c r="R112" s="33">
        <f t="shared" si="17"/>
        <v>0</v>
      </c>
      <c r="S112" s="33" t="str">
        <f t="shared" si="14"/>
        <v>NO GANA</v>
      </c>
      <c r="T112" s="33" t="str">
        <f>VLOOKUP(B112,'CUOTA TOTAL'!$B$4:$F$72,5,FALSE)</f>
        <v>GANA</v>
      </c>
      <c r="U112" s="31">
        <f t="shared" si="15"/>
        <v>0</v>
      </c>
      <c r="V112" s="31">
        <f t="shared" si="16"/>
        <v>0</v>
      </c>
    </row>
    <row r="113" spans="1:25" ht="14.45">
      <c r="A113" s="7" t="s">
        <v>5</v>
      </c>
      <c r="B113" s="51" t="s">
        <v>17</v>
      </c>
      <c r="C113" s="9" t="s">
        <v>135</v>
      </c>
      <c r="D113" s="8" t="s">
        <v>165</v>
      </c>
      <c r="E113" s="8" t="str">
        <f t="shared" si="9"/>
        <v>PALMA CEDEÑO WALTER ALEJANDROBARRA</v>
      </c>
      <c r="F113" s="28">
        <v>1900</v>
      </c>
      <c r="G113" s="28">
        <v>1900</v>
      </c>
      <c r="H113" s="28">
        <v>1900</v>
      </c>
      <c r="I113" s="34">
        <f t="shared" si="10"/>
        <v>5700</v>
      </c>
      <c r="J113" s="29">
        <v>1.4999999999999999E-2</v>
      </c>
      <c r="K113" s="30">
        <f t="shared" si="21"/>
        <v>85.5</v>
      </c>
      <c r="L113" s="31">
        <f t="shared" si="22"/>
        <v>94.050000000000011</v>
      </c>
      <c r="M113" s="32">
        <v>3262.5375999999997</v>
      </c>
      <c r="N113" s="32">
        <v>1474.4735999999998</v>
      </c>
      <c r="O113" s="32">
        <v>2088.9344000000001</v>
      </c>
      <c r="P113" s="81">
        <v>0</v>
      </c>
      <c r="Q113" s="10">
        <f t="shared" si="13"/>
        <v>6825.9455999999991</v>
      </c>
      <c r="R113" s="33">
        <f t="shared" si="17"/>
        <v>1.1975343157894736</v>
      </c>
      <c r="S113" s="33" t="str">
        <f t="shared" si="14"/>
        <v>GANA</v>
      </c>
      <c r="T113" s="33" t="str">
        <f>VLOOKUP(B113,'CUOTA TOTAL'!$B$4:$F$72,5,FALSE)</f>
        <v>GANA</v>
      </c>
      <c r="U113" s="31">
        <f t="shared" si="15"/>
        <v>102.38918399999999</v>
      </c>
      <c r="V113" s="31">
        <f t="shared" si="16"/>
        <v>94.050000000000011</v>
      </c>
    </row>
    <row r="114" spans="1:25" ht="14.45">
      <c r="A114" s="7" t="s">
        <v>5</v>
      </c>
      <c r="B114" s="51" t="s">
        <v>17</v>
      </c>
      <c r="C114" s="9" t="s">
        <v>135</v>
      </c>
      <c r="D114" s="8" t="s">
        <v>193</v>
      </c>
      <c r="E114" s="8" t="str">
        <f t="shared" si="9"/>
        <v>PALMA CEDEÑO WALTER ALEJANDROCREMA</v>
      </c>
      <c r="F114" s="28">
        <v>1182.8599999999999</v>
      </c>
      <c r="G114" s="28">
        <v>1182.8599999999999</v>
      </c>
      <c r="H114" s="28">
        <v>1182.8599999999999</v>
      </c>
      <c r="I114" s="34">
        <f t="shared" si="10"/>
        <v>3548.58</v>
      </c>
      <c r="J114" s="29">
        <v>3.5000000000000003E-2</v>
      </c>
      <c r="K114" s="30">
        <f t="shared" si="21"/>
        <v>124.20030000000001</v>
      </c>
      <c r="L114" s="31">
        <f t="shared" si="22"/>
        <v>136.62033000000002</v>
      </c>
      <c r="M114" s="32">
        <v>2193.6762000000008</v>
      </c>
      <c r="N114" s="32">
        <v>1182.7248</v>
      </c>
      <c r="O114" s="32">
        <v>2263.9350000000004</v>
      </c>
      <c r="P114" s="81">
        <v>0</v>
      </c>
      <c r="Q114" s="10">
        <f t="shared" si="13"/>
        <v>5640.3360000000011</v>
      </c>
      <c r="R114" s="33">
        <f t="shared" si="17"/>
        <v>1.5894628273844753</v>
      </c>
      <c r="S114" s="33" t="str">
        <f t="shared" si="14"/>
        <v>GANA</v>
      </c>
      <c r="T114" s="33" t="str">
        <f>VLOOKUP(B114,'CUOTA TOTAL'!$B$4:$F$72,5,FALSE)</f>
        <v>GANA</v>
      </c>
      <c r="U114" s="31">
        <f t="shared" si="15"/>
        <v>197.41176000000007</v>
      </c>
      <c r="V114" s="31">
        <f t="shared" si="16"/>
        <v>136.62033000000002</v>
      </c>
    </row>
    <row r="115" spans="1:25" ht="14.45">
      <c r="A115" s="7" t="s">
        <v>5</v>
      </c>
      <c r="B115" s="51" t="s">
        <v>17</v>
      </c>
      <c r="C115" s="9" t="s">
        <v>135</v>
      </c>
      <c r="D115" s="8" t="s">
        <v>194</v>
      </c>
      <c r="E115" s="8" t="str">
        <f t="shared" si="9"/>
        <v>PALMA CEDEÑO WALTER ALEJANDROLIQUIDO</v>
      </c>
      <c r="F115" s="28">
        <v>1400</v>
      </c>
      <c r="G115" s="28">
        <v>1400</v>
      </c>
      <c r="H115" s="28">
        <v>1400</v>
      </c>
      <c r="I115" s="34">
        <f t="shared" si="10"/>
        <v>4200</v>
      </c>
      <c r="J115" s="29">
        <v>1.4999999999999999E-2</v>
      </c>
      <c r="K115" s="30">
        <f t="shared" si="21"/>
        <v>63</v>
      </c>
      <c r="L115" s="31">
        <f t="shared" si="22"/>
        <v>69.3</v>
      </c>
      <c r="M115" s="32">
        <v>1409.7440000000001</v>
      </c>
      <c r="N115" s="32">
        <v>2311.8624</v>
      </c>
      <c r="O115" s="32">
        <v>1262.6544000000001</v>
      </c>
      <c r="P115" s="81">
        <v>0</v>
      </c>
      <c r="Q115" s="10">
        <f t="shared" si="13"/>
        <v>4984.2608</v>
      </c>
      <c r="R115" s="33">
        <f t="shared" si="17"/>
        <v>1.186728761904762</v>
      </c>
      <c r="S115" s="33" t="str">
        <f t="shared" si="14"/>
        <v>GANA</v>
      </c>
      <c r="T115" s="33" t="str">
        <f>VLOOKUP(B115,'CUOTA TOTAL'!$B$4:$F$72,5,FALSE)</f>
        <v>GANA</v>
      </c>
      <c r="U115" s="31">
        <f t="shared" si="15"/>
        <v>74.763911999999991</v>
      </c>
      <c r="V115" s="31">
        <f t="shared" si="16"/>
        <v>69.3</v>
      </c>
    </row>
    <row r="116" spans="1:25" ht="14.45">
      <c r="A116" s="7" t="s">
        <v>5</v>
      </c>
      <c r="B116" s="51" t="s">
        <v>17</v>
      </c>
      <c r="C116" s="9" t="s">
        <v>135</v>
      </c>
      <c r="D116" s="8" t="s">
        <v>196</v>
      </c>
      <c r="E116" s="8" t="str">
        <f t="shared" si="9"/>
        <v>PALMA CEDEÑO WALTER ALEJANDROPOLVO DETERGENTE</v>
      </c>
      <c r="F116" s="28">
        <v>4800</v>
      </c>
      <c r="G116" s="28">
        <v>4800</v>
      </c>
      <c r="H116" s="28">
        <v>4800</v>
      </c>
      <c r="I116" s="34">
        <f t="shared" si="10"/>
        <v>14400</v>
      </c>
      <c r="J116" s="29">
        <v>4.4999999999999998E-2</v>
      </c>
      <c r="K116" s="30">
        <f t="shared" si="21"/>
        <v>648</v>
      </c>
      <c r="L116" s="31">
        <f t="shared" si="22"/>
        <v>712.80000000000007</v>
      </c>
      <c r="M116" s="32">
        <v>1898.9759999999999</v>
      </c>
      <c r="N116" s="32">
        <v>5139.5584000000008</v>
      </c>
      <c r="O116" s="32">
        <v>7186.7839999999997</v>
      </c>
      <c r="P116" s="81">
        <v>0</v>
      </c>
      <c r="Q116" s="10">
        <f t="shared" si="13"/>
        <v>14225.3184</v>
      </c>
      <c r="R116" s="33">
        <f t="shared" si="17"/>
        <v>0.98786933333333338</v>
      </c>
      <c r="S116" s="33" t="str">
        <f t="shared" si="14"/>
        <v>GANA</v>
      </c>
      <c r="T116" s="33" t="str">
        <f>VLOOKUP(B116,'CUOTA TOTAL'!$B$4:$F$72,5,FALSE)</f>
        <v>GANA</v>
      </c>
      <c r="U116" s="31">
        <f t="shared" si="15"/>
        <v>640.13932799999998</v>
      </c>
      <c r="V116" s="31">
        <f t="shared" si="16"/>
        <v>640.13932799999998</v>
      </c>
    </row>
    <row r="117" spans="1:25" ht="14.45">
      <c r="A117" s="7" t="s">
        <v>5</v>
      </c>
      <c r="B117" s="51" t="s">
        <v>17</v>
      </c>
      <c r="C117" s="9" t="s">
        <v>135</v>
      </c>
      <c r="D117" s="8" t="s">
        <v>197</v>
      </c>
      <c r="E117" s="8" t="str">
        <f t="shared" si="9"/>
        <v>PALMA CEDEÑO WALTER ALEJANDROOTRAS CATEGORIAS</v>
      </c>
      <c r="F117" s="28">
        <v>15</v>
      </c>
      <c r="G117" s="28">
        <v>15</v>
      </c>
      <c r="H117" s="28">
        <v>15</v>
      </c>
      <c r="I117" s="34">
        <f t="shared" si="10"/>
        <v>45</v>
      </c>
      <c r="J117" s="29"/>
      <c r="K117" s="30">
        <f t="shared" si="21"/>
        <v>0</v>
      </c>
      <c r="L117" s="31">
        <f t="shared" si="22"/>
        <v>0</v>
      </c>
      <c r="M117" s="32">
        <v>0</v>
      </c>
      <c r="N117" s="32">
        <v>0</v>
      </c>
      <c r="O117" s="32">
        <v>70.524000000000001</v>
      </c>
      <c r="P117" s="81">
        <v>0</v>
      </c>
      <c r="Q117" s="10">
        <f t="shared" si="13"/>
        <v>70.524000000000001</v>
      </c>
      <c r="R117" s="33">
        <f t="shared" si="17"/>
        <v>1.5671999999999999</v>
      </c>
      <c r="S117" s="33" t="str">
        <f t="shared" si="14"/>
        <v>GANA</v>
      </c>
      <c r="T117" s="33" t="str">
        <f>VLOOKUP(B117,'CUOTA TOTAL'!$B$4:$F$72,5,FALSE)</f>
        <v>GANA</v>
      </c>
      <c r="U117" s="31">
        <f t="shared" si="15"/>
        <v>0</v>
      </c>
      <c r="V117" s="31">
        <f t="shared" si="16"/>
        <v>0</v>
      </c>
    </row>
    <row r="118" spans="1:25" ht="14.45">
      <c r="A118" s="7" t="s">
        <v>49</v>
      </c>
      <c r="B118" s="51" t="s">
        <v>62</v>
      </c>
      <c r="C118" s="9" t="s">
        <v>163</v>
      </c>
      <c r="D118" s="8" t="s">
        <v>165</v>
      </c>
      <c r="E118" s="8" t="str">
        <f t="shared" si="9"/>
        <v>ORTEGA GONZALEZ HERMES ADALBERBARRA</v>
      </c>
      <c r="F118" s="28">
        <v>3964</v>
      </c>
      <c r="G118" s="28">
        <v>3964</v>
      </c>
      <c r="H118" s="28">
        <v>3964</v>
      </c>
      <c r="I118" s="34">
        <f>SUM(F118:H118)</f>
        <v>11892</v>
      </c>
      <c r="J118" s="29">
        <v>1.4999999999999999E-2</v>
      </c>
      <c r="K118" s="30">
        <f t="shared" si="21"/>
        <v>178.38</v>
      </c>
      <c r="L118" s="31">
        <f t="shared" si="22"/>
        <v>196.21800000000002</v>
      </c>
      <c r="M118" s="32">
        <v>0</v>
      </c>
      <c r="N118" s="32">
        <v>9473.8943999999992</v>
      </c>
      <c r="O118" s="32">
        <v>3121.2</v>
      </c>
      <c r="P118" s="81">
        <v>0</v>
      </c>
      <c r="Q118" s="10">
        <f t="shared" si="13"/>
        <v>12595.094399999998</v>
      </c>
      <c r="R118" s="33">
        <f t="shared" si="17"/>
        <v>1.0591233097880928</v>
      </c>
      <c r="S118" s="33" t="str">
        <f t="shared" si="14"/>
        <v>GANA</v>
      </c>
      <c r="T118" s="33" t="str">
        <f>VLOOKUP(B118,'CUOTA TOTAL'!$B$4:$F$72,5,FALSE)</f>
        <v>GANA</v>
      </c>
      <c r="U118" s="31">
        <f t="shared" si="15"/>
        <v>188.92641599999996</v>
      </c>
      <c r="V118" s="31">
        <f t="shared" si="16"/>
        <v>188.92641599999996</v>
      </c>
    </row>
    <row r="119" spans="1:25" ht="14.45">
      <c r="A119" s="7" t="s">
        <v>49</v>
      </c>
      <c r="B119" s="51" t="s">
        <v>62</v>
      </c>
      <c r="C119" s="9" t="s">
        <v>163</v>
      </c>
      <c r="D119" s="8" t="s">
        <v>193</v>
      </c>
      <c r="E119" s="8" t="str">
        <f t="shared" si="9"/>
        <v>ORTEGA GONZALEZ HERMES ADALBERCREMA</v>
      </c>
      <c r="F119" s="28">
        <v>977</v>
      </c>
      <c r="G119" s="28">
        <v>977</v>
      </c>
      <c r="H119" s="28">
        <v>977</v>
      </c>
      <c r="I119" s="34">
        <f t="shared" ref="I119:I177" si="23">+F119+G119+H119</f>
        <v>2931</v>
      </c>
      <c r="J119" s="29">
        <v>1.4999999999999999E-2</v>
      </c>
      <c r="K119" s="30">
        <f t="shared" si="21"/>
        <v>43.964999999999996</v>
      </c>
      <c r="L119" s="31">
        <f t="shared" si="22"/>
        <v>48.361500000000007</v>
      </c>
      <c r="M119" s="32">
        <v>0</v>
      </c>
      <c r="N119" s="32">
        <v>3387.0527999999999</v>
      </c>
      <c r="O119" s="32">
        <v>2542.5648000000001</v>
      </c>
      <c r="P119" s="81">
        <v>0</v>
      </c>
      <c r="Q119" s="10">
        <f t="shared" si="13"/>
        <v>5929.6175999999996</v>
      </c>
      <c r="R119" s="33">
        <f t="shared" si="17"/>
        <v>2.0230698055271237</v>
      </c>
      <c r="S119" s="33" t="str">
        <f t="shared" si="14"/>
        <v>GANA</v>
      </c>
      <c r="T119" s="33" t="str">
        <f>VLOOKUP(B119,'CUOTA TOTAL'!$B$4:$F$72,5,FALSE)</f>
        <v>GANA</v>
      </c>
      <c r="U119" s="31">
        <f t="shared" si="15"/>
        <v>88.94426399999999</v>
      </c>
      <c r="V119" s="31">
        <f t="shared" si="16"/>
        <v>48.361500000000007</v>
      </c>
    </row>
    <row r="120" spans="1:25" ht="14.45">
      <c r="A120" s="7" t="s">
        <v>49</v>
      </c>
      <c r="B120" s="51" t="s">
        <v>62</v>
      </c>
      <c r="C120" s="9" t="s">
        <v>163</v>
      </c>
      <c r="D120" s="8" t="s">
        <v>194</v>
      </c>
      <c r="E120" s="8" t="str">
        <f t="shared" si="9"/>
        <v>ORTEGA GONZALEZ HERMES ADALBERLIQUIDO</v>
      </c>
      <c r="F120" s="28">
        <v>500</v>
      </c>
      <c r="G120" s="28">
        <v>500</v>
      </c>
      <c r="H120" s="28">
        <v>500</v>
      </c>
      <c r="I120" s="34">
        <f t="shared" si="23"/>
        <v>1500</v>
      </c>
      <c r="J120" s="29">
        <v>1.4999999999999999E-2</v>
      </c>
      <c r="K120" s="30">
        <f t="shared" si="21"/>
        <v>22.5</v>
      </c>
      <c r="L120" s="31">
        <f t="shared" si="22"/>
        <v>24.750000000000004</v>
      </c>
      <c r="M120" s="32">
        <v>0</v>
      </c>
      <c r="N120" s="32">
        <v>424.55040000000002</v>
      </c>
      <c r="O120" s="32">
        <v>104.6592</v>
      </c>
      <c r="P120" s="81">
        <v>0</v>
      </c>
      <c r="Q120" s="10">
        <f t="shared" si="13"/>
        <v>529.20960000000002</v>
      </c>
      <c r="R120" s="33">
        <f t="shared" si="17"/>
        <v>0.35280640000000002</v>
      </c>
      <c r="S120" s="33" t="str">
        <f t="shared" si="14"/>
        <v>NO GANA</v>
      </c>
      <c r="T120" s="33" t="str">
        <f>VLOOKUP(B120,'CUOTA TOTAL'!$B$4:$F$72,5,FALSE)</f>
        <v>GANA</v>
      </c>
      <c r="U120" s="31">
        <f t="shared" si="15"/>
        <v>0</v>
      </c>
      <c r="V120" s="31">
        <f t="shared" si="16"/>
        <v>0</v>
      </c>
    </row>
    <row r="121" spans="1:25" ht="14.45">
      <c r="A121" s="7" t="s">
        <v>49</v>
      </c>
      <c r="B121" s="51" t="s">
        <v>62</v>
      </c>
      <c r="C121" s="9" t="s">
        <v>163</v>
      </c>
      <c r="D121" s="8" t="s">
        <v>196</v>
      </c>
      <c r="E121" s="8" t="str">
        <f t="shared" si="9"/>
        <v>ORTEGA GONZALEZ HERMES ADALBERPOLVO DETERGENTE</v>
      </c>
      <c r="F121" s="28">
        <v>9083</v>
      </c>
      <c r="G121" s="28">
        <v>9083</v>
      </c>
      <c r="H121" s="28">
        <v>9083</v>
      </c>
      <c r="I121" s="34">
        <f t="shared" si="23"/>
        <v>27249</v>
      </c>
      <c r="J121" s="29">
        <v>1.4999999999999999E-2</v>
      </c>
      <c r="K121" s="30">
        <f t="shared" si="21"/>
        <v>408.73499999999996</v>
      </c>
      <c r="L121" s="31">
        <f t="shared" si="22"/>
        <v>449.60849999999999</v>
      </c>
      <c r="M121" s="32">
        <v>13183.430400000001</v>
      </c>
      <c r="N121" s="32">
        <v>9079.9384000000009</v>
      </c>
      <c r="O121" s="32">
        <v>2962.6248000000001</v>
      </c>
      <c r="P121" s="81">
        <v>0</v>
      </c>
      <c r="Q121" s="10">
        <f t="shared" si="13"/>
        <v>25225.993600000005</v>
      </c>
      <c r="R121" s="33">
        <f t="shared" si="17"/>
        <v>0.92575850856912201</v>
      </c>
      <c r="S121" s="33" t="str">
        <f t="shared" si="14"/>
        <v>GANA</v>
      </c>
      <c r="T121" s="33" t="str">
        <f>VLOOKUP(B121,'CUOTA TOTAL'!$B$4:$F$72,5,FALSE)</f>
        <v>GANA</v>
      </c>
      <c r="U121" s="31">
        <f t="shared" si="15"/>
        <v>378.38990400000006</v>
      </c>
      <c r="V121" s="31">
        <f t="shared" si="16"/>
        <v>378.38990400000006</v>
      </c>
    </row>
    <row r="122" spans="1:25" ht="14.45">
      <c r="A122" s="7" t="s">
        <v>49</v>
      </c>
      <c r="B122" s="51" t="s">
        <v>62</v>
      </c>
      <c r="C122" s="9" t="s">
        <v>163</v>
      </c>
      <c r="D122" s="8" t="s">
        <v>197</v>
      </c>
      <c r="E122" s="8" t="str">
        <f t="shared" si="9"/>
        <v>ORTEGA GONZALEZ HERMES ADALBEROTRAS CATEGORIAS</v>
      </c>
      <c r="F122" s="28">
        <v>60</v>
      </c>
      <c r="G122" s="28">
        <v>60</v>
      </c>
      <c r="H122" s="28">
        <v>60</v>
      </c>
      <c r="I122" s="34">
        <f t="shared" si="23"/>
        <v>180</v>
      </c>
      <c r="J122" s="69">
        <v>1.4999999999999999E-2</v>
      </c>
      <c r="K122" s="30">
        <f t="shared" si="21"/>
        <v>2.6999999999999997</v>
      </c>
      <c r="L122" s="31">
        <f t="shared" si="22"/>
        <v>2.97</v>
      </c>
      <c r="M122" s="32">
        <v>0</v>
      </c>
      <c r="N122" s="32">
        <v>0</v>
      </c>
      <c r="O122" s="32">
        <v>0</v>
      </c>
      <c r="P122" s="81">
        <v>0</v>
      </c>
      <c r="Q122" s="10">
        <f t="shared" si="13"/>
        <v>0</v>
      </c>
      <c r="R122" s="33">
        <f t="shared" si="17"/>
        <v>0</v>
      </c>
      <c r="S122" s="33" t="str">
        <f t="shared" si="14"/>
        <v>NO GANA</v>
      </c>
      <c r="T122" s="33" t="str">
        <f>VLOOKUP(B122,'CUOTA TOTAL'!$B$4:$F$72,5,FALSE)</f>
        <v>GANA</v>
      </c>
      <c r="U122" s="31">
        <f t="shared" si="15"/>
        <v>0</v>
      </c>
      <c r="V122" s="31">
        <f t="shared" si="16"/>
        <v>0</v>
      </c>
    </row>
    <row r="123" spans="1:25" ht="14.45">
      <c r="A123" s="7" t="s">
        <v>49</v>
      </c>
      <c r="B123" s="51" t="s">
        <v>61</v>
      </c>
      <c r="C123" s="9" t="s">
        <v>163</v>
      </c>
      <c r="D123" s="8" t="s">
        <v>165</v>
      </c>
      <c r="E123" s="8" t="str">
        <f t="shared" si="9"/>
        <v>MULLO DUCHI ANA LUCIABARRA</v>
      </c>
      <c r="F123" s="28">
        <v>6364</v>
      </c>
      <c r="G123" s="28">
        <v>6364</v>
      </c>
      <c r="H123" s="28">
        <v>6364</v>
      </c>
      <c r="I123" s="34">
        <f t="shared" si="23"/>
        <v>19092</v>
      </c>
      <c r="J123" s="29">
        <v>1.4999999999999999E-2</v>
      </c>
      <c r="K123" s="30">
        <f t="shared" si="21"/>
        <v>286.38</v>
      </c>
      <c r="L123" s="31">
        <f t="shared" si="22"/>
        <v>315.01799999999997</v>
      </c>
      <c r="M123" s="32">
        <v>2433.6</v>
      </c>
      <c r="N123" s="32">
        <v>7732.1471999999994</v>
      </c>
      <c r="O123" s="32">
        <v>4207.9103999999998</v>
      </c>
      <c r="P123" s="81">
        <v>0</v>
      </c>
      <c r="Q123" s="10">
        <f t="shared" si="13"/>
        <v>14373.657599999999</v>
      </c>
      <c r="R123" s="33">
        <f t="shared" si="17"/>
        <v>0.75286285355122562</v>
      </c>
      <c r="S123" s="33" t="str">
        <f t="shared" si="14"/>
        <v>NO GANA</v>
      </c>
      <c r="T123" s="33" t="str">
        <f>VLOOKUP(B123,'CUOTA TOTAL'!$B$4:$F$72,5,FALSE)</f>
        <v>NO GANA</v>
      </c>
      <c r="U123" s="31">
        <f t="shared" si="15"/>
        <v>0</v>
      </c>
      <c r="V123" s="31">
        <f t="shared" si="16"/>
        <v>0</v>
      </c>
    </row>
    <row r="124" spans="1:25" ht="14.45">
      <c r="A124" s="7" t="s">
        <v>49</v>
      </c>
      <c r="B124" s="51" t="s">
        <v>61</v>
      </c>
      <c r="C124" s="9" t="s">
        <v>163</v>
      </c>
      <c r="D124" s="8" t="s">
        <v>193</v>
      </c>
      <c r="E124" s="8" t="str">
        <f t="shared" si="9"/>
        <v>MULLO DUCHI ANA LUCIACREMA</v>
      </c>
      <c r="F124" s="28">
        <v>1350</v>
      </c>
      <c r="G124" s="28">
        <v>1350</v>
      </c>
      <c r="H124" s="28">
        <v>1350</v>
      </c>
      <c r="I124" s="34">
        <f t="shared" si="23"/>
        <v>4050</v>
      </c>
      <c r="J124" s="29">
        <v>1.4999999999999999E-2</v>
      </c>
      <c r="K124" s="30">
        <f t="shared" si="21"/>
        <v>60.75</v>
      </c>
      <c r="L124" s="31">
        <f t="shared" si="22"/>
        <v>66.825000000000003</v>
      </c>
      <c r="M124" s="32">
        <v>0</v>
      </c>
      <c r="N124" s="32">
        <v>1487.088</v>
      </c>
      <c r="O124" s="32">
        <v>853.05599999999993</v>
      </c>
      <c r="P124" s="81">
        <v>0</v>
      </c>
      <c r="Q124" s="10">
        <f t="shared" si="13"/>
        <v>2340.1439999999998</v>
      </c>
      <c r="R124" s="33">
        <f t="shared" si="17"/>
        <v>0.57781333333333329</v>
      </c>
      <c r="S124" s="33" t="str">
        <f t="shared" si="14"/>
        <v>NO GANA</v>
      </c>
      <c r="T124" s="33" t="str">
        <f>VLOOKUP(B124,'CUOTA TOTAL'!$B$4:$F$72,5,FALSE)</f>
        <v>NO GANA</v>
      </c>
      <c r="U124" s="31">
        <f t="shared" si="15"/>
        <v>0</v>
      </c>
      <c r="V124" s="31">
        <f t="shared" si="16"/>
        <v>0</v>
      </c>
    </row>
    <row r="125" spans="1:25" s="35" customFormat="1" ht="14.45">
      <c r="A125" s="7" t="s">
        <v>49</v>
      </c>
      <c r="B125" s="51" t="s">
        <v>61</v>
      </c>
      <c r="C125" s="9" t="s">
        <v>163</v>
      </c>
      <c r="D125" s="8" t="s">
        <v>194</v>
      </c>
      <c r="E125" s="8" t="str">
        <f t="shared" si="9"/>
        <v>MULLO DUCHI ANA LUCIALIQUIDO</v>
      </c>
      <c r="F125" s="28">
        <v>187</v>
      </c>
      <c r="G125" s="28">
        <v>187</v>
      </c>
      <c r="H125" s="28">
        <v>187</v>
      </c>
      <c r="I125" s="34">
        <f t="shared" si="23"/>
        <v>561</v>
      </c>
      <c r="J125" s="29">
        <v>1.4999999999999999E-2</v>
      </c>
      <c r="K125" s="30">
        <f t="shared" si="21"/>
        <v>8.4149999999999991</v>
      </c>
      <c r="L125" s="31">
        <f t="shared" si="22"/>
        <v>9.2565000000000008</v>
      </c>
      <c r="M125" s="32">
        <v>591.73919999999998</v>
      </c>
      <c r="N125" s="32">
        <v>129.88800000000001</v>
      </c>
      <c r="O125" s="32">
        <v>519.55200000000002</v>
      </c>
      <c r="P125" s="81">
        <v>0</v>
      </c>
      <c r="Q125" s="10">
        <f t="shared" si="13"/>
        <v>1241.1792</v>
      </c>
      <c r="R125" s="33">
        <f t="shared" si="17"/>
        <v>2.2124406417112299</v>
      </c>
      <c r="S125" s="33" t="str">
        <f t="shared" si="14"/>
        <v>GANA</v>
      </c>
      <c r="T125" s="33" t="str">
        <f>VLOOKUP(B125,'CUOTA TOTAL'!$B$4:$F$72,5,FALSE)</f>
        <v>NO GANA</v>
      </c>
      <c r="U125" s="31">
        <f t="shared" si="15"/>
        <v>0</v>
      </c>
      <c r="V125" s="31">
        <f t="shared" si="16"/>
        <v>0</v>
      </c>
      <c r="W125"/>
      <c r="X125"/>
      <c r="Y125"/>
    </row>
    <row r="126" spans="1:25" s="35" customFormat="1" ht="14.45">
      <c r="A126" s="7" t="s">
        <v>49</v>
      </c>
      <c r="B126" s="51" t="s">
        <v>61</v>
      </c>
      <c r="C126" s="9" t="s">
        <v>163</v>
      </c>
      <c r="D126" s="8" t="s">
        <v>196</v>
      </c>
      <c r="E126" s="8" t="str">
        <f t="shared" ref="E126:E194" si="24">_xlfn.CONCAT(B126,D126)</f>
        <v>MULLO DUCHI ANA LUCIAPOLVO DETERGENTE</v>
      </c>
      <c r="F126" s="28">
        <v>3551</v>
      </c>
      <c r="G126" s="28">
        <v>3551</v>
      </c>
      <c r="H126" s="28">
        <v>3551</v>
      </c>
      <c r="I126" s="34">
        <f t="shared" si="23"/>
        <v>10653</v>
      </c>
      <c r="J126" s="29">
        <v>1.4999999999999999E-2</v>
      </c>
      <c r="K126" s="30">
        <f t="shared" si="21"/>
        <v>159.79499999999999</v>
      </c>
      <c r="L126" s="31">
        <f t="shared" si="22"/>
        <v>175.77450000000002</v>
      </c>
      <c r="M126" s="32">
        <v>5243.3280000000004</v>
      </c>
      <c r="N126" s="32">
        <v>6181.4592000000011</v>
      </c>
      <c r="O126" s="32">
        <v>3769.0560000000005</v>
      </c>
      <c r="P126" s="81">
        <v>0</v>
      </c>
      <c r="Q126" s="10">
        <f t="shared" si="13"/>
        <v>15193.843200000003</v>
      </c>
      <c r="R126" s="33">
        <f t="shared" si="17"/>
        <v>1.4262501830470293</v>
      </c>
      <c r="S126" s="33" t="str">
        <f t="shared" si="14"/>
        <v>GANA</v>
      </c>
      <c r="T126" s="33" t="str">
        <f>VLOOKUP(B126,'CUOTA TOTAL'!$B$4:$F$72,5,FALSE)</f>
        <v>NO GANA</v>
      </c>
      <c r="U126" s="31">
        <f t="shared" si="15"/>
        <v>0</v>
      </c>
      <c r="V126" s="31">
        <f t="shared" si="16"/>
        <v>0</v>
      </c>
      <c r="W126"/>
      <c r="X126"/>
      <c r="Y126"/>
    </row>
    <row r="127" spans="1:25" ht="14.45">
      <c r="A127" s="7" t="s">
        <v>49</v>
      </c>
      <c r="B127" s="51" t="s">
        <v>61</v>
      </c>
      <c r="C127" s="9" t="s">
        <v>163</v>
      </c>
      <c r="D127" s="8" t="s">
        <v>197</v>
      </c>
      <c r="E127" s="8" t="str">
        <f t="shared" si="24"/>
        <v>MULLO DUCHI ANA LUCIAOTRAS CATEGORIAS</v>
      </c>
      <c r="F127" s="28">
        <v>20</v>
      </c>
      <c r="G127" s="28">
        <v>20</v>
      </c>
      <c r="H127" s="28">
        <v>20</v>
      </c>
      <c r="I127" s="34">
        <f t="shared" si="23"/>
        <v>60</v>
      </c>
      <c r="J127" s="69">
        <v>1.4999999999999999E-2</v>
      </c>
      <c r="K127" s="30">
        <f t="shared" si="21"/>
        <v>0.89999999999999991</v>
      </c>
      <c r="L127" s="31">
        <f t="shared" si="22"/>
        <v>0.99</v>
      </c>
      <c r="M127" s="32">
        <v>0</v>
      </c>
      <c r="N127" s="32">
        <v>0</v>
      </c>
      <c r="O127" s="32">
        <v>0</v>
      </c>
      <c r="P127" s="81">
        <v>0</v>
      </c>
      <c r="Q127" s="10">
        <f t="shared" si="13"/>
        <v>0</v>
      </c>
      <c r="R127" s="33">
        <f t="shared" si="17"/>
        <v>0</v>
      </c>
      <c r="S127" s="33" t="str">
        <f t="shared" si="14"/>
        <v>NO GANA</v>
      </c>
      <c r="T127" s="33" t="str">
        <f>VLOOKUP(B127,'CUOTA TOTAL'!$B$4:$F$72,5,FALSE)</f>
        <v>NO GANA</v>
      </c>
      <c r="U127" s="31">
        <f t="shared" si="15"/>
        <v>0</v>
      </c>
      <c r="V127" s="31">
        <f t="shared" si="16"/>
        <v>0</v>
      </c>
    </row>
    <row r="128" spans="1:25" ht="14.45">
      <c r="A128" s="7" t="s">
        <v>49</v>
      </c>
      <c r="B128" s="51" t="s">
        <v>58</v>
      </c>
      <c r="C128" s="9" t="s">
        <v>135</v>
      </c>
      <c r="D128" s="8" t="s">
        <v>165</v>
      </c>
      <c r="E128" s="8" t="str">
        <f t="shared" si="24"/>
        <v>JMORA-WMORAN S.A.S S.A.BARRA</v>
      </c>
      <c r="F128" s="28">
        <v>3300</v>
      </c>
      <c r="G128" s="28">
        <v>3300</v>
      </c>
      <c r="H128" s="28">
        <v>3300</v>
      </c>
      <c r="I128" s="34">
        <f t="shared" si="23"/>
        <v>9900</v>
      </c>
      <c r="J128" s="29">
        <v>1.4999999999999999E-2</v>
      </c>
      <c r="K128" s="30">
        <f t="shared" si="21"/>
        <v>148.5</v>
      </c>
      <c r="L128" s="31">
        <f t="shared" si="22"/>
        <v>163.35</v>
      </c>
      <c r="M128" s="32">
        <v>5821.2552000000005</v>
      </c>
      <c r="N128" s="32">
        <v>3391.4551999999999</v>
      </c>
      <c r="O128" s="32">
        <v>7169.5971999999983</v>
      </c>
      <c r="P128" s="81">
        <v>0</v>
      </c>
      <c r="Q128" s="10">
        <f t="shared" si="13"/>
        <v>16382.307599999998</v>
      </c>
      <c r="R128" s="33">
        <f t="shared" si="17"/>
        <v>1.6547785454545454</v>
      </c>
      <c r="S128" s="33" t="str">
        <f t="shared" si="14"/>
        <v>GANA</v>
      </c>
      <c r="T128" s="33" t="str">
        <f>VLOOKUP(B128,'CUOTA TOTAL'!$B$4:$F$72,5,FALSE)</f>
        <v>GANA</v>
      </c>
      <c r="U128" s="31">
        <f t="shared" si="15"/>
        <v>245.73461399999997</v>
      </c>
      <c r="V128" s="31">
        <f t="shared" si="16"/>
        <v>163.35</v>
      </c>
    </row>
    <row r="129" spans="1:24" ht="14.45">
      <c r="A129" s="7" t="s">
        <v>49</v>
      </c>
      <c r="B129" s="51" t="s">
        <v>58</v>
      </c>
      <c r="C129" s="9" t="s">
        <v>135</v>
      </c>
      <c r="D129" s="8" t="s">
        <v>193</v>
      </c>
      <c r="E129" s="8" t="str">
        <f t="shared" si="24"/>
        <v>JMORA-WMORAN S.A.S S.A.CREMA</v>
      </c>
      <c r="F129" s="28">
        <v>1284</v>
      </c>
      <c r="G129" s="28">
        <v>1284</v>
      </c>
      <c r="H129" s="28">
        <v>1285</v>
      </c>
      <c r="I129" s="34">
        <f t="shared" si="23"/>
        <v>3853</v>
      </c>
      <c r="J129" s="29">
        <v>3.5000000000000003E-2</v>
      </c>
      <c r="K129" s="30">
        <f t="shared" si="21"/>
        <v>134.85500000000002</v>
      </c>
      <c r="L129" s="31">
        <f t="shared" si="22"/>
        <v>148.34050000000002</v>
      </c>
      <c r="M129" s="32">
        <v>2367.2592</v>
      </c>
      <c r="N129" s="32">
        <v>1578.9155999999998</v>
      </c>
      <c r="O129" s="32">
        <v>108.48</v>
      </c>
      <c r="P129" s="81">
        <v>0</v>
      </c>
      <c r="Q129" s="10">
        <f t="shared" si="13"/>
        <v>4054.6547999999998</v>
      </c>
      <c r="R129" s="33">
        <f t="shared" si="17"/>
        <v>1.0523370879833895</v>
      </c>
      <c r="S129" s="33" t="str">
        <f t="shared" si="14"/>
        <v>GANA</v>
      </c>
      <c r="T129" s="33" t="str">
        <f>VLOOKUP(B129,'CUOTA TOTAL'!$B$4:$F$72,5,FALSE)</f>
        <v>GANA</v>
      </c>
      <c r="U129" s="31">
        <f t="shared" si="15"/>
        <v>141.91291800000002</v>
      </c>
      <c r="V129" s="31">
        <f t="shared" si="16"/>
        <v>141.91291800000002</v>
      </c>
    </row>
    <row r="130" spans="1:24" ht="14.45">
      <c r="A130" s="7" t="s">
        <v>49</v>
      </c>
      <c r="B130" s="51" t="s">
        <v>58</v>
      </c>
      <c r="C130" s="9" t="s">
        <v>135</v>
      </c>
      <c r="D130" s="8" t="s">
        <v>194</v>
      </c>
      <c r="E130" s="8" t="str">
        <f t="shared" si="24"/>
        <v>JMORA-WMORAN S.A.S S.A.LIQUIDO</v>
      </c>
      <c r="F130" s="28">
        <v>650</v>
      </c>
      <c r="G130" s="28">
        <v>650</v>
      </c>
      <c r="H130" s="28">
        <v>650</v>
      </c>
      <c r="I130" s="34">
        <f t="shared" si="23"/>
        <v>1950</v>
      </c>
      <c r="J130" s="29">
        <v>1.4999999999999999E-2</v>
      </c>
      <c r="K130" s="30">
        <f t="shared" si="21"/>
        <v>29.25</v>
      </c>
      <c r="L130" s="31">
        <f t="shared" si="22"/>
        <v>32.174999999999997</v>
      </c>
      <c r="M130" s="32">
        <v>501.60799999999983</v>
      </c>
      <c r="N130" s="32">
        <v>0</v>
      </c>
      <c r="O130" s="32">
        <v>1643.2800000000002</v>
      </c>
      <c r="P130" s="81">
        <v>0</v>
      </c>
      <c r="Q130" s="10">
        <f t="shared" si="13"/>
        <v>2144.8879999999999</v>
      </c>
      <c r="R130" s="33">
        <f t="shared" si="17"/>
        <v>1.099942564102564</v>
      </c>
      <c r="S130" s="33" t="str">
        <f t="shared" si="14"/>
        <v>GANA</v>
      </c>
      <c r="T130" s="33" t="str">
        <f>VLOOKUP(B130,'CUOTA TOTAL'!$B$4:$F$72,5,FALSE)</f>
        <v>GANA</v>
      </c>
      <c r="U130" s="31">
        <f t="shared" si="15"/>
        <v>32.173319999999997</v>
      </c>
      <c r="V130" s="31">
        <f t="shared" si="16"/>
        <v>32.173319999999997</v>
      </c>
    </row>
    <row r="131" spans="1:24" ht="14.45">
      <c r="A131" s="7" t="s">
        <v>49</v>
      </c>
      <c r="B131" s="51" t="s">
        <v>58</v>
      </c>
      <c r="C131" s="9" t="s">
        <v>135</v>
      </c>
      <c r="D131" s="8" t="s">
        <v>196</v>
      </c>
      <c r="E131" s="8" t="str">
        <f t="shared" si="24"/>
        <v>JMORA-WMORAN S.A.S S.A.POLVO DETERGENTE</v>
      </c>
      <c r="F131" s="28">
        <v>6800</v>
      </c>
      <c r="G131" s="28">
        <v>6800</v>
      </c>
      <c r="H131" s="28">
        <v>6800</v>
      </c>
      <c r="I131" s="34">
        <f t="shared" si="23"/>
        <v>20400</v>
      </c>
      <c r="J131" s="29">
        <v>4.4999999999999998E-2</v>
      </c>
      <c r="K131" s="30">
        <f t="shared" si="21"/>
        <v>918</v>
      </c>
      <c r="L131" s="31">
        <f t="shared" si="22"/>
        <v>1009.8</v>
      </c>
      <c r="M131" s="32">
        <v>12532.315200000001</v>
      </c>
      <c r="N131" s="32">
        <v>10114.003200000001</v>
      </c>
      <c r="O131" s="32">
        <v>7648.517600000001</v>
      </c>
      <c r="P131" s="81">
        <v>0</v>
      </c>
      <c r="Q131" s="10">
        <f t="shared" ref="Q131" si="25">SUM(M131:O131)</f>
        <v>30294.836000000003</v>
      </c>
      <c r="R131" s="33">
        <f t="shared" si="17"/>
        <v>1.4850409803921569</v>
      </c>
      <c r="S131" s="33" t="str">
        <f t="shared" ref="S131" si="26">IF(R131&gt;=80%,"GANA","NO GANA")</f>
        <v>GANA</v>
      </c>
      <c r="T131" s="33" t="str">
        <f>VLOOKUP(B131,'CUOTA TOTAL'!$B$4:$F$72,5,FALSE)</f>
        <v>GANA</v>
      </c>
      <c r="U131" s="31">
        <f t="shared" ref="U131:U194" si="27">IF(AND(T131="GANA",S131="GANA"),Q131*J131,0)</f>
        <v>1363.2676200000001</v>
      </c>
      <c r="V131" s="31">
        <f t="shared" ref="V131:V189" si="28">IF(U131&lt;=L131,U131,L131)</f>
        <v>1009.8</v>
      </c>
    </row>
    <row r="132" spans="1:24" ht="14.45">
      <c r="A132" s="7" t="s">
        <v>49</v>
      </c>
      <c r="B132" s="51" t="s">
        <v>58</v>
      </c>
      <c r="C132" s="9" t="s">
        <v>135</v>
      </c>
      <c r="D132" s="8" t="s">
        <v>197</v>
      </c>
      <c r="E132" s="8" t="str">
        <f t="shared" si="24"/>
        <v>JMORA-WMORAN S.A.S S.A.OTRAS CATEGORIAS</v>
      </c>
      <c r="F132" s="28">
        <v>60</v>
      </c>
      <c r="G132" s="28">
        <v>60</v>
      </c>
      <c r="H132" s="28">
        <v>60</v>
      </c>
      <c r="I132" s="34">
        <f t="shared" si="23"/>
        <v>180</v>
      </c>
      <c r="J132" s="69"/>
      <c r="K132" s="30">
        <f t="shared" si="21"/>
        <v>0</v>
      </c>
      <c r="L132" s="31">
        <f t="shared" si="22"/>
        <v>0</v>
      </c>
      <c r="M132" s="32">
        <v>0</v>
      </c>
      <c r="N132" s="32">
        <v>0</v>
      </c>
      <c r="O132" s="32">
        <v>0</v>
      </c>
      <c r="P132" s="81">
        <v>0</v>
      </c>
      <c r="Q132" s="10">
        <f t="shared" ref="Q132:Q194" si="29">SUM(M132:O132)</f>
        <v>0</v>
      </c>
      <c r="R132" s="33">
        <f t="shared" ref="R132:R195" si="30">IFERROR(+Q132/I132,0)</f>
        <v>0</v>
      </c>
      <c r="S132" s="33" t="str">
        <f t="shared" ref="S132:S191" si="31">IF(R132&gt;=80%,"GANA","NO GANA")</f>
        <v>NO GANA</v>
      </c>
      <c r="T132" s="33" t="str">
        <f>VLOOKUP(B132,'CUOTA TOTAL'!$B$4:$F$72,5,FALSE)</f>
        <v>GANA</v>
      </c>
      <c r="U132" s="31">
        <f t="shared" si="27"/>
        <v>0</v>
      </c>
      <c r="V132" s="31">
        <f t="shared" si="28"/>
        <v>0</v>
      </c>
    </row>
    <row r="133" spans="1:24" ht="14.45">
      <c r="A133" s="7" t="s">
        <v>109</v>
      </c>
      <c r="B133" s="51" t="s">
        <v>30</v>
      </c>
      <c r="C133" s="9" t="s">
        <v>163</v>
      </c>
      <c r="D133" s="8" t="s">
        <v>165</v>
      </c>
      <c r="E133" s="8" t="str">
        <f t="shared" si="24"/>
        <v>MASTIAN CHILENO LUIS GEOVANNYBARRA</v>
      </c>
      <c r="F133" s="28">
        <v>499</v>
      </c>
      <c r="G133" s="28">
        <v>499</v>
      </c>
      <c r="H133" s="28">
        <v>499</v>
      </c>
      <c r="I133" s="34">
        <f t="shared" si="23"/>
        <v>1497</v>
      </c>
      <c r="J133" s="29">
        <v>1.4999999999999999E-2</v>
      </c>
      <c r="K133" s="30">
        <f>+I133*J133</f>
        <v>22.454999999999998</v>
      </c>
      <c r="L133" s="31">
        <f>(I133*1.1)*J133</f>
        <v>24.700499999999998</v>
      </c>
      <c r="M133" s="32">
        <v>1323.3024</v>
      </c>
      <c r="N133" s="32">
        <v>106.10639999999999</v>
      </c>
      <c r="O133" s="32">
        <v>436.1472</v>
      </c>
      <c r="P133" s="82">
        <v>0</v>
      </c>
      <c r="Q133" s="10">
        <f t="shared" si="29"/>
        <v>1865.556</v>
      </c>
      <c r="R133" s="33">
        <f t="shared" si="30"/>
        <v>1.2461963927855713</v>
      </c>
      <c r="S133" s="33" t="str">
        <f t="shared" si="31"/>
        <v>GANA</v>
      </c>
      <c r="T133" s="33" t="str">
        <f>VLOOKUP(B133,'CUOTA TOTAL'!$B$4:$F$72,5,FALSE)</f>
        <v>GANA</v>
      </c>
      <c r="U133" s="31">
        <f t="shared" si="27"/>
        <v>27.983339999999998</v>
      </c>
      <c r="V133" s="31">
        <f t="shared" si="28"/>
        <v>24.700499999999998</v>
      </c>
      <c r="X133" t="s">
        <v>198</v>
      </c>
    </row>
    <row r="134" spans="1:24" ht="14.45">
      <c r="A134" s="7" t="s">
        <v>109</v>
      </c>
      <c r="B134" s="51" t="s">
        <v>30</v>
      </c>
      <c r="C134" s="9" t="s">
        <v>163</v>
      </c>
      <c r="D134" s="8" t="s">
        <v>193</v>
      </c>
      <c r="E134" s="8" t="str">
        <f t="shared" si="24"/>
        <v>MASTIAN CHILENO LUIS GEOVANNYCREMA</v>
      </c>
      <c r="F134" s="52">
        <f>2643+F136</f>
        <v>4025</v>
      </c>
      <c r="G134" s="52">
        <f t="shared" ref="G134:H134" si="32">2643+G136</f>
        <v>4025</v>
      </c>
      <c r="H134" s="52">
        <f t="shared" si="32"/>
        <v>4025</v>
      </c>
      <c r="I134" s="34">
        <f t="shared" si="23"/>
        <v>12075</v>
      </c>
      <c r="J134" s="72">
        <v>4.1000000000000002E-2</v>
      </c>
      <c r="K134" s="30">
        <f>+I134*J134</f>
        <v>495.07500000000005</v>
      </c>
      <c r="L134" s="31">
        <f>(I134*1.1)*J134</f>
        <v>544.5825000000001</v>
      </c>
      <c r="M134" s="32">
        <v>5534.587199999999</v>
      </c>
      <c r="N134" s="32">
        <v>0</v>
      </c>
      <c r="O134" s="32">
        <v>8678.0880000000016</v>
      </c>
      <c r="P134" s="82">
        <v>0</v>
      </c>
      <c r="Q134" s="10">
        <f t="shared" si="29"/>
        <v>14212.675200000001</v>
      </c>
      <c r="R134" s="33">
        <f t="shared" si="30"/>
        <v>1.177033142857143</v>
      </c>
      <c r="S134" s="33" t="str">
        <f t="shared" si="31"/>
        <v>GANA</v>
      </c>
      <c r="T134" s="33" t="str">
        <f>VLOOKUP(B134,'CUOTA TOTAL'!$B$4:$F$72,5,FALSE)</f>
        <v>GANA</v>
      </c>
      <c r="U134" s="31">
        <f t="shared" si="27"/>
        <v>582.71968320000008</v>
      </c>
      <c r="V134" s="31">
        <f t="shared" si="28"/>
        <v>544.5825000000001</v>
      </c>
      <c r="X134" t="s">
        <v>198</v>
      </c>
    </row>
    <row r="135" spans="1:24" ht="14.45">
      <c r="A135" s="7" t="s">
        <v>109</v>
      </c>
      <c r="B135" s="51" t="s">
        <v>30</v>
      </c>
      <c r="C135" s="9" t="s">
        <v>163</v>
      </c>
      <c r="D135" s="8" t="s">
        <v>194</v>
      </c>
      <c r="E135" s="8" t="str">
        <f t="shared" si="24"/>
        <v>MASTIAN CHILENO LUIS GEOVANNYLIQUIDO</v>
      </c>
      <c r="F135" s="34">
        <v>70</v>
      </c>
      <c r="G135" s="34">
        <v>70</v>
      </c>
      <c r="H135" s="34">
        <v>70</v>
      </c>
      <c r="I135" s="34">
        <f t="shared" si="23"/>
        <v>210</v>
      </c>
      <c r="J135" s="29">
        <v>1.4999999999999999E-2</v>
      </c>
      <c r="K135" s="30">
        <f>+I135*J135</f>
        <v>3.15</v>
      </c>
      <c r="L135" s="31">
        <f>(I135*1.1)*J135</f>
        <v>3.4650000000000003</v>
      </c>
      <c r="M135" s="32">
        <v>209.3184</v>
      </c>
      <c r="N135" s="32">
        <v>0</v>
      </c>
      <c r="O135" s="32">
        <v>69.772800000000004</v>
      </c>
      <c r="P135" s="82">
        <v>0</v>
      </c>
      <c r="Q135" s="10">
        <f t="shared" si="29"/>
        <v>279.09120000000001</v>
      </c>
      <c r="R135" s="33">
        <f t="shared" si="30"/>
        <v>1.3290057142857143</v>
      </c>
      <c r="S135" s="33" t="str">
        <f t="shared" si="31"/>
        <v>GANA</v>
      </c>
      <c r="T135" s="33" t="str">
        <f>VLOOKUP(B135,'CUOTA TOTAL'!$B$4:$F$72,5,FALSE)</f>
        <v>GANA</v>
      </c>
      <c r="U135" s="31">
        <f t="shared" si="27"/>
        <v>4.1863679999999999</v>
      </c>
      <c r="V135" s="31">
        <f t="shared" si="28"/>
        <v>3.4650000000000003</v>
      </c>
      <c r="X135" t="s">
        <v>198</v>
      </c>
    </row>
    <row r="136" spans="1:24" ht="14.45">
      <c r="A136" s="7" t="s">
        <v>109</v>
      </c>
      <c r="B136" s="51" t="s">
        <v>30</v>
      </c>
      <c r="C136" s="9" t="s">
        <v>163</v>
      </c>
      <c r="D136" s="8" t="s">
        <v>196</v>
      </c>
      <c r="E136" s="8" t="str">
        <f t="shared" si="24"/>
        <v>MASTIAN CHILENO LUIS GEOVANNYPOLVO DETERGENTE</v>
      </c>
      <c r="F136" s="52">
        <v>1382</v>
      </c>
      <c r="G136" s="52">
        <v>1382</v>
      </c>
      <c r="H136" s="52">
        <v>1382</v>
      </c>
      <c r="I136" s="34">
        <f t="shared" si="23"/>
        <v>4146</v>
      </c>
      <c r="J136" s="72">
        <v>0.04</v>
      </c>
      <c r="K136" s="30">
        <f>+I136*J136</f>
        <v>165.84</v>
      </c>
      <c r="L136" s="31">
        <f>(I136*1.1)*J136</f>
        <v>182.42400000000001</v>
      </c>
      <c r="M136" s="32">
        <v>0</v>
      </c>
      <c r="N136" s="32">
        <v>0</v>
      </c>
      <c r="O136" s="32">
        <v>0</v>
      </c>
      <c r="P136" s="82">
        <v>0</v>
      </c>
      <c r="Q136" s="10">
        <f t="shared" si="29"/>
        <v>0</v>
      </c>
      <c r="R136" s="33">
        <f t="shared" si="30"/>
        <v>0</v>
      </c>
      <c r="S136" s="33" t="str">
        <f t="shared" si="31"/>
        <v>NO GANA</v>
      </c>
      <c r="T136" s="33" t="str">
        <f>VLOOKUP(B136,'CUOTA TOTAL'!$B$4:$F$72,5,FALSE)</f>
        <v>GANA</v>
      </c>
      <c r="U136" s="31">
        <f t="shared" si="27"/>
        <v>0</v>
      </c>
      <c r="V136" s="31">
        <f t="shared" si="28"/>
        <v>0</v>
      </c>
      <c r="X136" t="s">
        <v>198</v>
      </c>
    </row>
    <row r="137" spans="1:24" ht="14.45">
      <c r="A137" s="7" t="s">
        <v>109</v>
      </c>
      <c r="B137" s="51" t="s">
        <v>30</v>
      </c>
      <c r="C137" s="9" t="s">
        <v>163</v>
      </c>
      <c r="D137" s="8" t="s">
        <v>197</v>
      </c>
      <c r="E137" s="8" t="str">
        <f t="shared" si="24"/>
        <v>MASTIAN CHILENO LUIS GEOVANNYOTRAS CATEGORIAS</v>
      </c>
      <c r="F137" s="34">
        <v>0</v>
      </c>
      <c r="G137" s="34">
        <v>0</v>
      </c>
      <c r="H137" s="34">
        <v>0</v>
      </c>
      <c r="I137" s="34">
        <f t="shared" si="23"/>
        <v>0</v>
      </c>
      <c r="J137" s="29"/>
      <c r="K137" s="30">
        <f>+I137*J137</f>
        <v>0</v>
      </c>
      <c r="L137" s="31">
        <f>(I137*1.1)*J137</f>
        <v>0</v>
      </c>
      <c r="M137" s="32">
        <v>0</v>
      </c>
      <c r="N137" s="32">
        <v>0</v>
      </c>
      <c r="O137" s="32">
        <v>0</v>
      </c>
      <c r="P137" s="82">
        <v>0</v>
      </c>
      <c r="Q137" s="10">
        <f t="shared" si="29"/>
        <v>0</v>
      </c>
      <c r="R137" s="33">
        <f t="shared" si="30"/>
        <v>0</v>
      </c>
      <c r="S137" s="33" t="str">
        <f t="shared" si="31"/>
        <v>NO GANA</v>
      </c>
      <c r="T137" s="33" t="str">
        <f>VLOOKUP(B137,'CUOTA TOTAL'!$B$4:$F$72,5,FALSE)</f>
        <v>GANA</v>
      </c>
      <c r="U137" s="31">
        <f t="shared" si="27"/>
        <v>0</v>
      </c>
      <c r="V137" s="31">
        <f t="shared" si="28"/>
        <v>0</v>
      </c>
    </row>
    <row r="138" spans="1:24" ht="14.45">
      <c r="A138" s="7" t="s">
        <v>33</v>
      </c>
      <c r="B138" s="51" t="s">
        <v>44</v>
      </c>
      <c r="C138" s="9" t="s">
        <v>135</v>
      </c>
      <c r="D138" s="8" t="s">
        <v>165</v>
      </c>
      <c r="E138" s="8" t="str">
        <f t="shared" si="24"/>
        <v>LOMBEIDA GONZALEZ WILSON BAYARDO(COMISARIATO LA GRAN OFERTA)BARRA</v>
      </c>
      <c r="F138" s="34">
        <v>2402.4499999999998</v>
      </c>
      <c r="G138" s="34">
        <v>2402.4499999999998</v>
      </c>
      <c r="H138" s="34">
        <v>2402.4499999999998</v>
      </c>
      <c r="I138" s="34">
        <f t="shared" si="23"/>
        <v>7207.3499999999995</v>
      </c>
      <c r="J138" s="29">
        <v>1.4999999999999999E-2</v>
      </c>
      <c r="K138" s="30">
        <f t="shared" si="21"/>
        <v>108.11024999999999</v>
      </c>
      <c r="L138" s="31">
        <f t="shared" si="22"/>
        <v>118.92127499999999</v>
      </c>
      <c r="M138" s="32">
        <v>3318.9088000000002</v>
      </c>
      <c r="N138" s="32">
        <v>960.20800000000008</v>
      </c>
      <c r="O138" s="32">
        <v>2667.3119999999999</v>
      </c>
      <c r="P138" s="81">
        <v>0</v>
      </c>
      <c r="Q138" s="10">
        <f t="shared" si="29"/>
        <v>6946.4287999999997</v>
      </c>
      <c r="R138" s="33">
        <f t="shared" si="30"/>
        <v>0.96379790075409133</v>
      </c>
      <c r="S138" s="33" t="str">
        <f t="shared" si="31"/>
        <v>GANA</v>
      </c>
      <c r="T138" s="33" t="str">
        <f>VLOOKUP(B138,'CUOTA TOTAL'!$B$4:$F$72,5,FALSE)</f>
        <v>NO GANA</v>
      </c>
      <c r="U138" s="31">
        <f t="shared" si="27"/>
        <v>0</v>
      </c>
      <c r="V138" s="31">
        <f t="shared" si="28"/>
        <v>0</v>
      </c>
    </row>
    <row r="139" spans="1:24" ht="14.45">
      <c r="A139" s="7" t="s">
        <v>33</v>
      </c>
      <c r="B139" s="51" t="s">
        <v>44</v>
      </c>
      <c r="C139" s="9" t="s">
        <v>135</v>
      </c>
      <c r="D139" s="8" t="s">
        <v>193</v>
      </c>
      <c r="E139" s="8" t="str">
        <f t="shared" si="24"/>
        <v>LOMBEIDA GONZALEZ WILSON BAYARDO(COMISARIATO LA GRAN OFERTA)CREMA</v>
      </c>
      <c r="F139" s="34">
        <v>2359.13</v>
      </c>
      <c r="G139" s="34">
        <v>2359.13</v>
      </c>
      <c r="H139" s="34">
        <v>2359.13</v>
      </c>
      <c r="I139" s="34">
        <f t="shared" si="23"/>
        <v>7077.39</v>
      </c>
      <c r="J139" s="29">
        <v>3.5000000000000003E-2</v>
      </c>
      <c r="K139" s="30">
        <f t="shared" si="21"/>
        <v>247.70865000000003</v>
      </c>
      <c r="L139" s="31">
        <f t="shared" si="22"/>
        <v>272.47951500000005</v>
      </c>
      <c r="M139" s="32">
        <v>2366.7486000000008</v>
      </c>
      <c r="N139" s="32">
        <v>2762.6819999999993</v>
      </c>
      <c r="O139" s="32">
        <v>2135.8307999999993</v>
      </c>
      <c r="P139" s="81">
        <v>0</v>
      </c>
      <c r="Q139" s="10">
        <f t="shared" si="29"/>
        <v>7265.2613999999994</v>
      </c>
      <c r="R139" s="33">
        <f t="shared" si="30"/>
        <v>1.0265452942398257</v>
      </c>
      <c r="S139" s="33" t="str">
        <f t="shared" si="31"/>
        <v>GANA</v>
      </c>
      <c r="T139" s="33" t="str">
        <f>VLOOKUP(B139,'CUOTA TOTAL'!$B$4:$F$72,5,FALSE)</f>
        <v>NO GANA</v>
      </c>
      <c r="U139" s="31">
        <f t="shared" si="27"/>
        <v>0</v>
      </c>
      <c r="V139" s="31">
        <f t="shared" si="28"/>
        <v>0</v>
      </c>
    </row>
    <row r="140" spans="1:24" ht="14.45">
      <c r="A140" s="7" t="s">
        <v>33</v>
      </c>
      <c r="B140" s="51" t="s">
        <v>44</v>
      </c>
      <c r="C140" s="9" t="s">
        <v>135</v>
      </c>
      <c r="D140" s="8" t="s">
        <v>194</v>
      </c>
      <c r="E140" s="8" t="str">
        <f t="shared" si="24"/>
        <v>LOMBEIDA GONZALEZ WILSON BAYARDO(COMISARIATO LA GRAN OFERTA)LIQUIDO</v>
      </c>
      <c r="F140" s="34">
        <v>667.15</v>
      </c>
      <c r="G140" s="34">
        <v>667.15</v>
      </c>
      <c r="H140" s="34">
        <v>667.15</v>
      </c>
      <c r="I140" s="34">
        <f t="shared" si="23"/>
        <v>2001.4499999999998</v>
      </c>
      <c r="J140" s="29">
        <v>1.4999999999999999E-2</v>
      </c>
      <c r="K140" s="30">
        <f t="shared" si="21"/>
        <v>30.021749999999997</v>
      </c>
      <c r="L140" s="31">
        <f t="shared" si="22"/>
        <v>33.023924999999998</v>
      </c>
      <c r="M140" s="32">
        <v>665.73879999999986</v>
      </c>
      <c r="N140" s="32">
        <v>296.45480000000003</v>
      </c>
      <c r="O140" s="32">
        <v>384.05040000000002</v>
      </c>
      <c r="P140" s="81">
        <v>0</v>
      </c>
      <c r="Q140" s="10">
        <f t="shared" si="29"/>
        <v>1346.2439999999999</v>
      </c>
      <c r="R140" s="33">
        <f t="shared" si="30"/>
        <v>0.67263434010342504</v>
      </c>
      <c r="S140" s="33" t="str">
        <f t="shared" si="31"/>
        <v>NO GANA</v>
      </c>
      <c r="T140" s="33" t="str">
        <f>VLOOKUP(B140,'CUOTA TOTAL'!$B$4:$F$72,5,FALSE)</f>
        <v>NO GANA</v>
      </c>
      <c r="U140" s="31">
        <f t="shared" si="27"/>
        <v>0</v>
      </c>
      <c r="V140" s="31">
        <f t="shared" si="28"/>
        <v>0</v>
      </c>
    </row>
    <row r="141" spans="1:24" ht="14.45">
      <c r="A141" s="7" t="s">
        <v>33</v>
      </c>
      <c r="B141" s="51" t="s">
        <v>44</v>
      </c>
      <c r="C141" s="9" t="s">
        <v>135</v>
      </c>
      <c r="D141" s="8" t="s">
        <v>196</v>
      </c>
      <c r="E141" s="8" t="str">
        <f t="shared" si="24"/>
        <v>LOMBEIDA GONZALEZ WILSON BAYARDO(COMISARIATO LA GRAN OFERTA)POLVO DETERGENTE</v>
      </c>
      <c r="F141" s="34">
        <v>5202.53</v>
      </c>
      <c r="G141" s="34">
        <v>5202.53</v>
      </c>
      <c r="H141" s="34">
        <v>5202.53</v>
      </c>
      <c r="I141" s="34">
        <f t="shared" si="23"/>
        <v>15607.59</v>
      </c>
      <c r="J141" s="29">
        <v>4.4999999999999998E-2</v>
      </c>
      <c r="K141" s="30">
        <f t="shared" si="21"/>
        <v>702.34154999999998</v>
      </c>
      <c r="L141" s="31">
        <f t="shared" si="22"/>
        <v>772.57570500000008</v>
      </c>
      <c r="M141" s="32">
        <v>0</v>
      </c>
      <c r="N141" s="32">
        <v>1637.972</v>
      </c>
      <c r="O141" s="32">
        <v>0</v>
      </c>
      <c r="P141" s="81">
        <v>0</v>
      </c>
      <c r="Q141" s="10">
        <f t="shared" si="29"/>
        <v>1637.972</v>
      </c>
      <c r="R141" s="33">
        <f t="shared" si="30"/>
        <v>0.10494714430607159</v>
      </c>
      <c r="S141" s="33" t="str">
        <f t="shared" si="31"/>
        <v>NO GANA</v>
      </c>
      <c r="T141" s="33" t="str">
        <f>VLOOKUP(B141,'CUOTA TOTAL'!$B$4:$F$72,5,FALSE)</f>
        <v>NO GANA</v>
      </c>
      <c r="U141" s="31">
        <f t="shared" si="27"/>
        <v>0</v>
      </c>
      <c r="V141" s="31">
        <f t="shared" si="28"/>
        <v>0</v>
      </c>
    </row>
    <row r="142" spans="1:24" ht="14.45">
      <c r="A142" s="7" t="s">
        <v>33</v>
      </c>
      <c r="B142" s="51" t="s">
        <v>44</v>
      </c>
      <c r="C142" s="9" t="s">
        <v>135</v>
      </c>
      <c r="D142" s="8" t="s">
        <v>197</v>
      </c>
      <c r="E142" s="8" t="str">
        <f t="shared" si="24"/>
        <v>LOMBEIDA GONZALEZ WILSON BAYARDO(COMISARIATO LA GRAN OFERTA)OTRAS CATEGORIAS</v>
      </c>
      <c r="F142" s="34"/>
      <c r="G142" s="34"/>
      <c r="H142" s="34"/>
      <c r="I142" s="34">
        <f t="shared" si="23"/>
        <v>0</v>
      </c>
      <c r="J142" s="29"/>
      <c r="K142" s="30">
        <f t="shared" si="21"/>
        <v>0</v>
      </c>
      <c r="L142" s="31">
        <f t="shared" si="22"/>
        <v>0</v>
      </c>
      <c r="M142" s="32">
        <v>23.507999999999999</v>
      </c>
      <c r="N142" s="32">
        <v>0</v>
      </c>
      <c r="O142" s="32">
        <v>0</v>
      </c>
      <c r="P142" s="81">
        <v>0</v>
      </c>
      <c r="Q142" s="10">
        <f t="shared" si="29"/>
        <v>23.507999999999999</v>
      </c>
      <c r="R142" s="33">
        <f t="shared" si="30"/>
        <v>0</v>
      </c>
      <c r="S142" s="33" t="str">
        <f t="shared" si="31"/>
        <v>NO GANA</v>
      </c>
      <c r="T142" s="33" t="str">
        <f>VLOOKUP(B142,'CUOTA TOTAL'!$B$4:$F$72,5,FALSE)</f>
        <v>NO GANA</v>
      </c>
      <c r="U142" s="31">
        <f t="shared" si="27"/>
        <v>0</v>
      </c>
      <c r="V142" s="31">
        <f t="shared" si="28"/>
        <v>0</v>
      </c>
    </row>
    <row r="143" spans="1:24" ht="14.45">
      <c r="A143" s="7" t="s">
        <v>33</v>
      </c>
      <c r="B143" s="51" t="s">
        <v>42</v>
      </c>
      <c r="C143" s="9" t="s">
        <v>135</v>
      </c>
      <c r="D143" s="8" t="s">
        <v>165</v>
      </c>
      <c r="E143" s="8" t="str">
        <f t="shared" si="24"/>
        <v>LITARDO MURILLO JANELA ALEXANDRABARRA</v>
      </c>
      <c r="F143" s="34">
        <v>2115.7600000000002</v>
      </c>
      <c r="G143" s="34">
        <v>2115.7600000000002</v>
      </c>
      <c r="H143" s="34">
        <v>2115.7600000000002</v>
      </c>
      <c r="I143" s="34">
        <f t="shared" si="23"/>
        <v>6347.2800000000007</v>
      </c>
      <c r="J143" s="29">
        <v>1.4999999999999999E-2</v>
      </c>
      <c r="K143" s="30">
        <f t="shared" si="21"/>
        <v>95.20920000000001</v>
      </c>
      <c r="L143" s="31">
        <f t="shared" si="22"/>
        <v>104.73012000000001</v>
      </c>
      <c r="M143" s="32">
        <v>2582.2936</v>
      </c>
      <c r="N143" s="32">
        <v>3403.9776000000006</v>
      </c>
      <c r="O143" s="32">
        <v>3287.74</v>
      </c>
      <c r="P143" s="81">
        <v>0</v>
      </c>
      <c r="Q143" s="10">
        <f t="shared" si="29"/>
        <v>9274.0112000000008</v>
      </c>
      <c r="R143" s="33">
        <f t="shared" si="30"/>
        <v>1.4611000617587375</v>
      </c>
      <c r="S143" s="33" t="str">
        <f t="shared" si="31"/>
        <v>GANA</v>
      </c>
      <c r="T143" s="33" t="str">
        <f>VLOOKUP(B143,'CUOTA TOTAL'!$B$4:$F$72,5,FALSE)</f>
        <v>GANA</v>
      </c>
      <c r="U143" s="31">
        <f t="shared" si="27"/>
        <v>139.11016800000002</v>
      </c>
      <c r="V143" s="31">
        <f t="shared" si="28"/>
        <v>104.73012000000001</v>
      </c>
    </row>
    <row r="144" spans="1:24" ht="14.45" customHeight="1">
      <c r="A144" s="7" t="s">
        <v>33</v>
      </c>
      <c r="B144" s="51" t="s">
        <v>42</v>
      </c>
      <c r="C144" s="9" t="s">
        <v>135</v>
      </c>
      <c r="D144" s="8" t="s">
        <v>193</v>
      </c>
      <c r="E144" s="8" t="str">
        <f t="shared" si="24"/>
        <v>LITARDO MURILLO JANELA ALEXANDRACREMA</v>
      </c>
      <c r="F144" s="34">
        <v>1722.48</v>
      </c>
      <c r="G144" s="34">
        <v>1722.48</v>
      </c>
      <c r="H144" s="34">
        <v>1722.48</v>
      </c>
      <c r="I144" s="34">
        <f t="shared" si="23"/>
        <v>5167.4400000000005</v>
      </c>
      <c r="J144" s="29">
        <v>3.5000000000000003E-2</v>
      </c>
      <c r="K144" s="30">
        <f t="shared" si="21"/>
        <v>180.86040000000003</v>
      </c>
      <c r="L144" s="31">
        <f t="shared" si="22"/>
        <v>198.94644000000005</v>
      </c>
      <c r="M144" s="32">
        <v>1456.1892</v>
      </c>
      <c r="N144" s="32">
        <v>2173.7027999999996</v>
      </c>
      <c r="O144" s="32">
        <v>1642.6452000000004</v>
      </c>
      <c r="P144" s="81">
        <v>0</v>
      </c>
      <c r="Q144" s="10">
        <f t="shared" si="29"/>
        <v>5272.5372000000007</v>
      </c>
      <c r="R144" s="33">
        <f t="shared" si="30"/>
        <v>1.0203383493567415</v>
      </c>
      <c r="S144" s="33" t="str">
        <f t="shared" si="31"/>
        <v>GANA</v>
      </c>
      <c r="T144" s="33" t="str">
        <f>VLOOKUP(B144,'CUOTA TOTAL'!$B$4:$F$72,5,FALSE)</f>
        <v>GANA</v>
      </c>
      <c r="U144" s="31">
        <f t="shared" si="27"/>
        <v>184.53880200000003</v>
      </c>
      <c r="V144" s="31">
        <f t="shared" si="28"/>
        <v>184.53880200000003</v>
      </c>
    </row>
    <row r="145" spans="1:25" ht="14.45" customHeight="1">
      <c r="A145" s="7" t="s">
        <v>33</v>
      </c>
      <c r="B145" s="51" t="s">
        <v>42</v>
      </c>
      <c r="C145" s="9" t="s">
        <v>135</v>
      </c>
      <c r="D145" s="8" t="s">
        <v>194</v>
      </c>
      <c r="E145" s="8" t="str">
        <f t="shared" si="24"/>
        <v>LITARDO MURILLO JANELA ALEXANDRALIQUIDO</v>
      </c>
      <c r="F145" s="34">
        <v>248.56</v>
      </c>
      <c r="G145" s="34">
        <v>248.56</v>
      </c>
      <c r="H145" s="34">
        <v>248.56</v>
      </c>
      <c r="I145" s="34">
        <f t="shared" si="23"/>
        <v>745.68000000000006</v>
      </c>
      <c r="J145" s="29">
        <v>1.4999999999999999E-2</v>
      </c>
      <c r="K145" s="30">
        <f t="shared" si="21"/>
        <v>11.1852</v>
      </c>
      <c r="L145" s="31">
        <f t="shared" si="22"/>
        <v>12.303720000000002</v>
      </c>
      <c r="M145" s="32">
        <v>342.952</v>
      </c>
      <c r="N145" s="32">
        <v>546.13239999999996</v>
      </c>
      <c r="O145" s="32">
        <v>273.37440000000004</v>
      </c>
      <c r="P145" s="81">
        <v>0</v>
      </c>
      <c r="Q145" s="10">
        <f t="shared" si="29"/>
        <v>1162.4587999999999</v>
      </c>
      <c r="R145" s="33">
        <f t="shared" si="30"/>
        <v>1.558924471623216</v>
      </c>
      <c r="S145" s="33" t="str">
        <f t="shared" si="31"/>
        <v>GANA</v>
      </c>
      <c r="T145" s="33" t="str">
        <f>VLOOKUP(B145,'CUOTA TOTAL'!$B$4:$F$72,5,FALSE)</f>
        <v>GANA</v>
      </c>
      <c r="U145" s="31">
        <f t="shared" si="27"/>
        <v>17.436881999999997</v>
      </c>
      <c r="V145" s="31">
        <f t="shared" si="28"/>
        <v>12.303720000000002</v>
      </c>
      <c r="X145" s="35"/>
    </row>
    <row r="146" spans="1:25" ht="14.45" customHeight="1">
      <c r="A146" s="7" t="s">
        <v>33</v>
      </c>
      <c r="B146" s="51" t="s">
        <v>42</v>
      </c>
      <c r="C146" s="9" t="s">
        <v>135</v>
      </c>
      <c r="D146" s="8" t="s">
        <v>196</v>
      </c>
      <c r="E146" s="8" t="str">
        <f t="shared" si="24"/>
        <v>LITARDO MURILLO JANELA ALEXANDRAPOLVO DETERGENTE</v>
      </c>
      <c r="F146" s="34">
        <v>4051.58</v>
      </c>
      <c r="G146" s="34">
        <v>4051.58</v>
      </c>
      <c r="H146" s="34">
        <v>4051.58</v>
      </c>
      <c r="I146" s="34">
        <f t="shared" si="23"/>
        <v>12154.74</v>
      </c>
      <c r="J146" s="29">
        <v>4.4999999999999998E-2</v>
      </c>
      <c r="K146" s="30">
        <f t="shared" si="21"/>
        <v>546.9633</v>
      </c>
      <c r="L146" s="31">
        <f t="shared" si="22"/>
        <v>601.65962999999999</v>
      </c>
      <c r="M146" s="32">
        <v>2007.1907999999999</v>
      </c>
      <c r="N146" s="32">
        <v>5019.3792000000003</v>
      </c>
      <c r="O146" s="32">
        <v>1720.7172</v>
      </c>
      <c r="P146" s="81"/>
      <c r="Q146" s="10">
        <f t="shared" si="29"/>
        <v>8747.2871999999988</v>
      </c>
      <c r="R146" s="33">
        <f t="shared" si="30"/>
        <v>0.71966057686137253</v>
      </c>
      <c r="S146" s="33" t="str">
        <f t="shared" si="31"/>
        <v>NO GANA</v>
      </c>
      <c r="T146" s="33" t="str">
        <f>VLOOKUP(B146,'CUOTA TOTAL'!$B$4:$F$72,5,FALSE)</f>
        <v>GANA</v>
      </c>
      <c r="U146" s="31">
        <f t="shared" si="27"/>
        <v>0</v>
      </c>
      <c r="V146" s="31">
        <f t="shared" si="28"/>
        <v>0</v>
      </c>
      <c r="X146" s="35"/>
    </row>
    <row r="147" spans="1:25" ht="14.45" customHeight="1">
      <c r="A147" s="7" t="s">
        <v>33</v>
      </c>
      <c r="B147" s="51" t="s">
        <v>42</v>
      </c>
      <c r="C147" s="9" t="s">
        <v>135</v>
      </c>
      <c r="D147" s="8" t="s">
        <v>197</v>
      </c>
      <c r="E147" s="8" t="str">
        <f t="shared" si="24"/>
        <v>LITARDO MURILLO JANELA ALEXANDRAOTRAS CATEGORIAS</v>
      </c>
      <c r="F147" s="34"/>
      <c r="G147" s="34"/>
      <c r="H147" s="34"/>
      <c r="I147" s="34">
        <f t="shared" si="23"/>
        <v>0</v>
      </c>
      <c r="J147" s="29"/>
      <c r="K147" s="30">
        <f t="shared" si="21"/>
        <v>0</v>
      </c>
      <c r="L147" s="31">
        <f t="shared" si="22"/>
        <v>0</v>
      </c>
      <c r="M147" s="32">
        <v>0</v>
      </c>
      <c r="N147" s="32">
        <v>0</v>
      </c>
      <c r="O147" s="32">
        <v>0</v>
      </c>
      <c r="P147" s="81">
        <v>0</v>
      </c>
      <c r="Q147" s="10">
        <f t="shared" si="29"/>
        <v>0</v>
      </c>
      <c r="R147" s="33">
        <f t="shared" si="30"/>
        <v>0</v>
      </c>
      <c r="S147" s="33" t="str">
        <f t="shared" si="31"/>
        <v>NO GANA</v>
      </c>
      <c r="T147" s="33" t="str">
        <f>VLOOKUP(B147,'CUOTA TOTAL'!$B$4:$F$72,5,FALSE)</f>
        <v>GANA</v>
      </c>
      <c r="U147" s="31">
        <f t="shared" si="27"/>
        <v>0</v>
      </c>
      <c r="V147" s="31">
        <f t="shared" si="28"/>
        <v>0</v>
      </c>
      <c r="Y147" s="35"/>
    </row>
    <row r="148" spans="1:25" ht="14.45">
      <c r="A148" s="7" t="s">
        <v>49</v>
      </c>
      <c r="B148" s="51" t="s">
        <v>59</v>
      </c>
      <c r="C148" s="9" t="s">
        <v>163</v>
      </c>
      <c r="D148" s="8" t="s">
        <v>165</v>
      </c>
      <c r="E148" s="8" t="str">
        <f t="shared" si="24"/>
        <v>JOAMELCORP SABARRA</v>
      </c>
      <c r="F148" s="28">
        <v>11500</v>
      </c>
      <c r="G148" s="28">
        <v>11500</v>
      </c>
      <c r="H148" s="28">
        <v>11500</v>
      </c>
      <c r="I148" s="34">
        <f t="shared" si="23"/>
        <v>34500</v>
      </c>
      <c r="J148" s="29">
        <v>1.4999999999999999E-2</v>
      </c>
      <c r="K148" s="30">
        <f t="shared" si="21"/>
        <v>517.5</v>
      </c>
      <c r="L148" s="31">
        <f t="shared" si="22"/>
        <v>569.25</v>
      </c>
      <c r="M148" s="32">
        <v>1141.4752000000001</v>
      </c>
      <c r="N148" s="32">
        <v>1774.2287999999999</v>
      </c>
      <c r="O148" s="32">
        <v>3339</v>
      </c>
      <c r="P148" s="81">
        <v>0</v>
      </c>
      <c r="Q148" s="10">
        <f t="shared" si="29"/>
        <v>6254.7039999999997</v>
      </c>
      <c r="R148" s="33">
        <f t="shared" si="30"/>
        <v>0.18129576811594203</v>
      </c>
      <c r="S148" s="33" t="str">
        <f t="shared" si="31"/>
        <v>NO GANA</v>
      </c>
      <c r="T148" s="33" t="str">
        <f>VLOOKUP(B148,'CUOTA TOTAL'!$B$4:$F$72,5,FALSE)</f>
        <v>NO GANA</v>
      </c>
      <c r="U148" s="31">
        <f t="shared" si="27"/>
        <v>0</v>
      </c>
      <c r="V148" s="31">
        <f t="shared" si="28"/>
        <v>0</v>
      </c>
    </row>
    <row r="149" spans="1:25" ht="14.45">
      <c r="A149" s="7" t="s">
        <v>49</v>
      </c>
      <c r="B149" s="51" t="s">
        <v>59</v>
      </c>
      <c r="C149" s="9" t="s">
        <v>163</v>
      </c>
      <c r="D149" s="8" t="s">
        <v>193</v>
      </c>
      <c r="E149" s="8" t="str">
        <f t="shared" si="24"/>
        <v>JOAMELCORP SACREMA</v>
      </c>
      <c r="F149" s="28">
        <v>2750</v>
      </c>
      <c r="G149" s="28">
        <v>2750</v>
      </c>
      <c r="H149" s="28">
        <v>2750</v>
      </c>
      <c r="I149" s="34">
        <f t="shared" si="23"/>
        <v>8250</v>
      </c>
      <c r="J149" s="29">
        <v>3.5000000000000003E-2</v>
      </c>
      <c r="K149" s="30">
        <f t="shared" si="21"/>
        <v>288.75</v>
      </c>
      <c r="L149" s="31">
        <f t="shared" si="22"/>
        <v>317.62500000000006</v>
      </c>
      <c r="M149" s="32">
        <v>4632.4416000000001</v>
      </c>
      <c r="N149" s="32">
        <v>3586.5984000000008</v>
      </c>
      <c r="O149" s="32">
        <v>823.41120000000001</v>
      </c>
      <c r="P149" s="81">
        <v>0</v>
      </c>
      <c r="Q149" s="10">
        <f t="shared" si="29"/>
        <v>9042.4512000000013</v>
      </c>
      <c r="R149" s="33">
        <f t="shared" si="30"/>
        <v>1.0960546909090911</v>
      </c>
      <c r="S149" s="33" t="str">
        <f t="shared" si="31"/>
        <v>GANA</v>
      </c>
      <c r="T149" s="33" t="str">
        <f>VLOOKUP(B149,'CUOTA TOTAL'!$B$4:$F$72,5,FALSE)</f>
        <v>NO GANA</v>
      </c>
      <c r="U149" s="31">
        <f t="shared" si="27"/>
        <v>0</v>
      </c>
      <c r="V149" s="31">
        <f t="shared" si="28"/>
        <v>0</v>
      </c>
    </row>
    <row r="150" spans="1:25" ht="14.45">
      <c r="A150" s="7" t="s">
        <v>49</v>
      </c>
      <c r="B150" s="51" t="s">
        <v>59</v>
      </c>
      <c r="C150" s="9" t="s">
        <v>163</v>
      </c>
      <c r="D150" s="8" t="s">
        <v>194</v>
      </c>
      <c r="E150" s="8" t="str">
        <f t="shared" si="24"/>
        <v>JOAMELCORP SALIQUIDO</v>
      </c>
      <c r="F150" s="28">
        <v>306</v>
      </c>
      <c r="G150" s="28">
        <v>306</v>
      </c>
      <c r="H150" s="28">
        <v>306</v>
      </c>
      <c r="I150" s="34">
        <f t="shared" si="23"/>
        <v>918</v>
      </c>
      <c r="J150" s="29">
        <v>1.4999999999999999E-2</v>
      </c>
      <c r="K150" s="30">
        <f t="shared" si="21"/>
        <v>13.77</v>
      </c>
      <c r="L150" s="31">
        <f t="shared" si="22"/>
        <v>15.147</v>
      </c>
      <c r="M150" s="32">
        <v>426.07200000000006</v>
      </c>
      <c r="N150" s="32">
        <v>282.14400000000001</v>
      </c>
      <c r="O150" s="32">
        <v>194.83199999999999</v>
      </c>
      <c r="P150" s="81">
        <v>0</v>
      </c>
      <c r="Q150" s="10">
        <f t="shared" si="29"/>
        <v>903.04800000000012</v>
      </c>
      <c r="R150" s="33">
        <f t="shared" si="30"/>
        <v>0.9837124183006537</v>
      </c>
      <c r="S150" s="33" t="str">
        <f t="shared" si="31"/>
        <v>GANA</v>
      </c>
      <c r="T150" s="33" t="str">
        <f>VLOOKUP(B150,'CUOTA TOTAL'!$B$4:$F$72,5,FALSE)</f>
        <v>NO GANA</v>
      </c>
      <c r="U150" s="31">
        <f t="shared" si="27"/>
        <v>0</v>
      </c>
      <c r="V150" s="31">
        <f t="shared" si="28"/>
        <v>0</v>
      </c>
    </row>
    <row r="151" spans="1:25" ht="14.45">
      <c r="A151" s="7" t="s">
        <v>49</v>
      </c>
      <c r="B151" s="51" t="s">
        <v>59</v>
      </c>
      <c r="C151" s="9" t="s">
        <v>163</v>
      </c>
      <c r="D151" s="8" t="s">
        <v>196</v>
      </c>
      <c r="E151" s="8" t="str">
        <f t="shared" si="24"/>
        <v>JOAMELCORP SAPOLVO DETERGENTE</v>
      </c>
      <c r="F151" s="28">
        <v>12000</v>
      </c>
      <c r="G151" s="28">
        <v>12000</v>
      </c>
      <c r="H151" s="28">
        <v>12000</v>
      </c>
      <c r="I151" s="34">
        <f t="shared" si="23"/>
        <v>36000</v>
      </c>
      <c r="J151" s="29">
        <v>4.4999999999999998E-2</v>
      </c>
      <c r="K151" s="30">
        <f t="shared" si="21"/>
        <v>1620</v>
      </c>
      <c r="L151" s="31">
        <f t="shared" si="22"/>
        <v>1782</v>
      </c>
      <c r="M151" s="32">
        <v>0</v>
      </c>
      <c r="N151" s="32">
        <v>50312.998399999997</v>
      </c>
      <c r="O151" s="32">
        <v>1644.1</v>
      </c>
      <c r="P151" s="81">
        <v>0</v>
      </c>
      <c r="Q151" s="10">
        <f t="shared" si="29"/>
        <v>51957.098399999995</v>
      </c>
      <c r="R151" s="33">
        <f t="shared" si="30"/>
        <v>1.4432527333333331</v>
      </c>
      <c r="S151" s="33" t="str">
        <f t="shared" si="31"/>
        <v>GANA</v>
      </c>
      <c r="T151" s="33" t="str">
        <f>VLOOKUP(B151,'CUOTA TOTAL'!$B$4:$F$72,5,FALSE)</f>
        <v>NO GANA</v>
      </c>
      <c r="U151" s="31">
        <f t="shared" si="27"/>
        <v>0</v>
      </c>
      <c r="V151" s="31">
        <f t="shared" si="28"/>
        <v>0</v>
      </c>
    </row>
    <row r="152" spans="1:25" ht="14.45">
      <c r="A152" s="7" t="s">
        <v>49</v>
      </c>
      <c r="B152" s="51" t="s">
        <v>59</v>
      </c>
      <c r="C152" s="9" t="s">
        <v>163</v>
      </c>
      <c r="D152" s="8" t="s">
        <v>197</v>
      </c>
      <c r="E152" s="8" t="str">
        <f t="shared" si="24"/>
        <v>JOAMELCORP SAOTRAS CATEGORIAS</v>
      </c>
      <c r="F152" s="28">
        <v>60</v>
      </c>
      <c r="G152" s="28">
        <v>60</v>
      </c>
      <c r="H152" s="28">
        <v>60</v>
      </c>
      <c r="I152" s="34">
        <f t="shared" si="23"/>
        <v>180</v>
      </c>
      <c r="J152" s="69"/>
      <c r="K152" s="30">
        <f t="shared" ref="K152:K197" si="33">+I152*J152</f>
        <v>0</v>
      </c>
      <c r="L152" s="31">
        <f t="shared" ref="L152:L197" si="34">(I152*1.1)*J152</f>
        <v>0</v>
      </c>
      <c r="M152" s="32">
        <v>0</v>
      </c>
      <c r="N152" s="32">
        <v>0</v>
      </c>
      <c r="O152" s="32">
        <v>0</v>
      </c>
      <c r="P152" s="81">
        <v>0</v>
      </c>
      <c r="Q152" s="10">
        <f t="shared" si="29"/>
        <v>0</v>
      </c>
      <c r="R152" s="33">
        <f t="shared" si="30"/>
        <v>0</v>
      </c>
      <c r="S152" s="33" t="str">
        <f t="shared" si="31"/>
        <v>NO GANA</v>
      </c>
      <c r="T152" s="33" t="str">
        <f>VLOOKUP(B152,'CUOTA TOTAL'!$B$4:$F$72,5,FALSE)</f>
        <v>NO GANA</v>
      </c>
      <c r="U152" s="31">
        <f t="shared" si="27"/>
        <v>0</v>
      </c>
      <c r="V152" s="31">
        <f t="shared" si="28"/>
        <v>0</v>
      </c>
    </row>
    <row r="153" spans="1:25" ht="14.45">
      <c r="A153" s="7" t="s">
        <v>33</v>
      </c>
      <c r="B153" s="51" t="s">
        <v>41</v>
      </c>
      <c r="C153" s="9" t="s">
        <v>135</v>
      </c>
      <c r="D153" s="8" t="s">
        <v>165</v>
      </c>
      <c r="E153" s="8" t="str">
        <f t="shared" si="24"/>
        <v>IMPORTADORA CARANQUI CIA.LTDA.BARRA</v>
      </c>
      <c r="F153" s="28">
        <v>1332.47</v>
      </c>
      <c r="G153" s="28">
        <v>1332.47</v>
      </c>
      <c r="H153" s="28">
        <v>1332.47</v>
      </c>
      <c r="I153" s="34">
        <f t="shared" si="23"/>
        <v>3997.41</v>
      </c>
      <c r="J153" s="29">
        <v>1.4999999999999999E-2</v>
      </c>
      <c r="K153" s="30">
        <f t="shared" si="33"/>
        <v>59.961149999999996</v>
      </c>
      <c r="L153" s="31">
        <f t="shared" si="34"/>
        <v>65.957264999999992</v>
      </c>
      <c r="M153" s="32">
        <v>0</v>
      </c>
      <c r="N153" s="32">
        <v>0</v>
      </c>
      <c r="O153" s="32">
        <v>1813.5440000000001</v>
      </c>
      <c r="P153" s="81">
        <v>0</v>
      </c>
      <c r="Q153" s="10">
        <f t="shared" si="29"/>
        <v>1813.5440000000001</v>
      </c>
      <c r="R153" s="33">
        <f t="shared" si="30"/>
        <v>0.45367975764307394</v>
      </c>
      <c r="S153" s="33" t="str">
        <f t="shared" si="31"/>
        <v>NO GANA</v>
      </c>
      <c r="T153" s="33" t="str">
        <f>VLOOKUP(B153,'CUOTA TOTAL'!$B$4:$F$72,5,FALSE)</f>
        <v>NO GANA</v>
      </c>
      <c r="U153" s="31">
        <f t="shared" si="27"/>
        <v>0</v>
      </c>
      <c r="V153" s="31">
        <f t="shared" si="28"/>
        <v>0</v>
      </c>
    </row>
    <row r="154" spans="1:25" ht="14.45">
      <c r="A154" s="7" t="s">
        <v>33</v>
      </c>
      <c r="B154" s="51" t="s">
        <v>41</v>
      </c>
      <c r="C154" s="9" t="s">
        <v>135</v>
      </c>
      <c r="D154" s="8" t="s">
        <v>193</v>
      </c>
      <c r="E154" s="8" t="str">
        <f t="shared" si="24"/>
        <v>IMPORTADORA CARANQUI CIA.LTDA.CREMA</v>
      </c>
      <c r="F154" s="28">
        <v>1270.3499999999999</v>
      </c>
      <c r="G154" s="28">
        <v>1270.3499999999999</v>
      </c>
      <c r="H154" s="28">
        <v>1270.3499999999999</v>
      </c>
      <c r="I154" s="34">
        <f t="shared" si="23"/>
        <v>3811.0499999999997</v>
      </c>
      <c r="J154" s="29">
        <v>3.5000000000000003E-2</v>
      </c>
      <c r="K154" s="30">
        <f t="shared" si="33"/>
        <v>133.38675000000001</v>
      </c>
      <c r="L154" s="31">
        <f t="shared" si="34"/>
        <v>146.725425</v>
      </c>
      <c r="M154" s="32">
        <v>0</v>
      </c>
      <c r="N154" s="32">
        <v>0</v>
      </c>
      <c r="O154" s="32">
        <v>2075.8199999999997</v>
      </c>
      <c r="P154" s="81">
        <v>0</v>
      </c>
      <c r="Q154" s="10">
        <f t="shared" si="29"/>
        <v>2075.8199999999997</v>
      </c>
      <c r="R154" s="33">
        <f t="shared" si="30"/>
        <v>0.54468453575786202</v>
      </c>
      <c r="S154" s="33" t="str">
        <f t="shared" si="31"/>
        <v>NO GANA</v>
      </c>
      <c r="T154" s="33" t="str">
        <f>VLOOKUP(B154,'CUOTA TOTAL'!$B$4:$F$72,5,FALSE)</f>
        <v>NO GANA</v>
      </c>
      <c r="U154" s="31">
        <f t="shared" si="27"/>
        <v>0</v>
      </c>
      <c r="V154" s="31">
        <f t="shared" si="28"/>
        <v>0</v>
      </c>
    </row>
    <row r="155" spans="1:25" ht="14.45">
      <c r="A155" s="7" t="s">
        <v>33</v>
      </c>
      <c r="B155" s="51" t="s">
        <v>41</v>
      </c>
      <c r="C155" s="9" t="s">
        <v>135</v>
      </c>
      <c r="D155" s="8" t="s">
        <v>194</v>
      </c>
      <c r="E155" s="8" t="str">
        <f t="shared" si="24"/>
        <v>IMPORTADORA CARANQUI CIA.LTDA.LIQUIDO</v>
      </c>
      <c r="F155" s="28">
        <v>221.5</v>
      </c>
      <c r="G155" s="28">
        <v>221.5</v>
      </c>
      <c r="H155" s="28">
        <v>221.5</v>
      </c>
      <c r="I155" s="34">
        <f t="shared" si="23"/>
        <v>664.5</v>
      </c>
      <c r="J155" s="29">
        <v>1.4999999999999999E-2</v>
      </c>
      <c r="K155" s="30">
        <f t="shared" si="33"/>
        <v>9.9674999999999994</v>
      </c>
      <c r="L155" s="31">
        <f t="shared" si="34"/>
        <v>10.96425</v>
      </c>
      <c r="M155" s="32">
        <v>0</v>
      </c>
      <c r="N155" s="32">
        <v>0</v>
      </c>
      <c r="O155" s="32">
        <v>196.50399999999996</v>
      </c>
      <c r="P155" s="81">
        <v>0</v>
      </c>
      <c r="Q155" s="10">
        <f t="shared" si="29"/>
        <v>196.50399999999996</v>
      </c>
      <c r="R155" s="33">
        <f t="shared" si="30"/>
        <v>0.29571708051166284</v>
      </c>
      <c r="S155" s="33" t="str">
        <f t="shared" si="31"/>
        <v>NO GANA</v>
      </c>
      <c r="T155" s="33" t="str">
        <f>VLOOKUP(B155,'CUOTA TOTAL'!$B$4:$F$72,5,FALSE)</f>
        <v>NO GANA</v>
      </c>
      <c r="U155" s="31">
        <f t="shared" si="27"/>
        <v>0</v>
      </c>
      <c r="V155" s="31">
        <f t="shared" si="28"/>
        <v>0</v>
      </c>
    </row>
    <row r="156" spans="1:25" ht="14.45">
      <c r="A156" s="7" t="s">
        <v>33</v>
      </c>
      <c r="B156" s="51" t="s">
        <v>41</v>
      </c>
      <c r="C156" s="9" t="s">
        <v>135</v>
      </c>
      <c r="D156" s="8" t="s">
        <v>196</v>
      </c>
      <c r="E156" s="8" t="str">
        <f t="shared" si="24"/>
        <v>IMPORTADORA CARANQUI CIA.LTDA.POLVO DETERGENTE</v>
      </c>
      <c r="F156" s="28">
        <v>2092.2399999999998</v>
      </c>
      <c r="G156" s="28">
        <v>2092.2399999999998</v>
      </c>
      <c r="H156" s="28">
        <v>2092.2399999999998</v>
      </c>
      <c r="I156" s="34">
        <f t="shared" si="23"/>
        <v>6276.7199999999993</v>
      </c>
      <c r="J156" s="29">
        <v>4.4999999999999998E-2</v>
      </c>
      <c r="K156" s="30">
        <f t="shared" si="33"/>
        <v>282.45239999999995</v>
      </c>
      <c r="L156" s="31">
        <f t="shared" si="34"/>
        <v>310.69763999999998</v>
      </c>
      <c r="M156" s="32">
        <v>0</v>
      </c>
      <c r="N156" s="32">
        <v>0</v>
      </c>
      <c r="O156" s="32">
        <v>325.31</v>
      </c>
      <c r="P156" s="81">
        <v>0</v>
      </c>
      <c r="Q156" s="10">
        <f t="shared" si="29"/>
        <v>325.31</v>
      </c>
      <c r="R156" s="33">
        <f t="shared" si="30"/>
        <v>5.182802482825425E-2</v>
      </c>
      <c r="S156" s="33" t="str">
        <f t="shared" si="31"/>
        <v>NO GANA</v>
      </c>
      <c r="T156" s="33" t="str">
        <f>VLOOKUP(B156,'CUOTA TOTAL'!$B$4:$F$72,5,FALSE)</f>
        <v>NO GANA</v>
      </c>
      <c r="U156" s="31">
        <f t="shared" si="27"/>
        <v>0</v>
      </c>
      <c r="V156" s="31">
        <f t="shared" si="28"/>
        <v>0</v>
      </c>
    </row>
    <row r="157" spans="1:25" ht="14.45">
      <c r="A157" s="7" t="s">
        <v>33</v>
      </c>
      <c r="B157" s="51" t="s">
        <v>41</v>
      </c>
      <c r="C157" s="9" t="s">
        <v>135</v>
      </c>
      <c r="D157" s="8" t="s">
        <v>197</v>
      </c>
      <c r="E157" s="8" t="str">
        <f t="shared" si="24"/>
        <v>IMPORTADORA CARANQUI CIA.LTDA.OTRAS CATEGORIAS</v>
      </c>
      <c r="F157" s="28"/>
      <c r="G157" s="28"/>
      <c r="H157" s="28"/>
      <c r="I157" s="34">
        <f t="shared" si="23"/>
        <v>0</v>
      </c>
      <c r="J157" s="29"/>
      <c r="K157" s="30">
        <f t="shared" si="33"/>
        <v>0</v>
      </c>
      <c r="L157" s="31">
        <f t="shared" si="34"/>
        <v>0</v>
      </c>
      <c r="M157" s="32">
        <v>0</v>
      </c>
      <c r="N157" s="32">
        <v>0</v>
      </c>
      <c r="O157" s="32">
        <v>23.507999999999999</v>
      </c>
      <c r="P157" s="81">
        <v>0</v>
      </c>
      <c r="Q157" s="10">
        <f t="shared" si="29"/>
        <v>23.507999999999999</v>
      </c>
      <c r="R157" s="33">
        <f t="shared" si="30"/>
        <v>0</v>
      </c>
      <c r="S157" s="33" t="str">
        <f t="shared" si="31"/>
        <v>NO GANA</v>
      </c>
      <c r="T157" s="33" t="str">
        <f>VLOOKUP(B157,'CUOTA TOTAL'!$B$4:$F$72,5,FALSE)</f>
        <v>NO GANA</v>
      </c>
      <c r="U157" s="31">
        <f t="shared" si="27"/>
        <v>0</v>
      </c>
      <c r="V157" s="31">
        <f t="shared" si="28"/>
        <v>0</v>
      </c>
    </row>
    <row r="158" spans="1:25" ht="14.45">
      <c r="A158" s="7" t="s">
        <v>33</v>
      </c>
      <c r="B158" s="51" t="s">
        <v>40</v>
      </c>
      <c r="C158" s="9" t="s">
        <v>135</v>
      </c>
      <c r="D158" s="8" t="s">
        <v>165</v>
      </c>
      <c r="E158" s="8" t="str">
        <f t="shared" si="24"/>
        <v>HERRERA CABRERA JENNY JACQUELINEBARRA</v>
      </c>
      <c r="F158" s="52">
        <v>1805.43</v>
      </c>
      <c r="G158" s="34">
        <v>1805.43</v>
      </c>
      <c r="H158" s="34">
        <v>1805.43</v>
      </c>
      <c r="I158" s="34">
        <f t="shared" si="23"/>
        <v>5416.29</v>
      </c>
      <c r="J158" s="29">
        <v>1.4999999999999999E-2</v>
      </c>
      <c r="K158" s="30">
        <f t="shared" si="33"/>
        <v>81.244349999999997</v>
      </c>
      <c r="L158" s="31">
        <f t="shared" si="34"/>
        <v>89.368785000000003</v>
      </c>
      <c r="M158" s="32">
        <v>2419.3679999999999</v>
      </c>
      <c r="N158" s="32">
        <v>910.59839999999997</v>
      </c>
      <c r="O158" s="32">
        <v>3899.1840000000002</v>
      </c>
      <c r="P158" s="81">
        <v>0</v>
      </c>
      <c r="Q158" s="10">
        <f t="shared" si="29"/>
        <v>7229.1504000000004</v>
      </c>
      <c r="R158" s="33">
        <f t="shared" si="30"/>
        <v>1.3347051948843214</v>
      </c>
      <c r="S158" s="33" t="str">
        <f t="shared" si="31"/>
        <v>GANA</v>
      </c>
      <c r="T158" s="33" t="str">
        <f>VLOOKUP(B158,'CUOTA TOTAL'!$B$4:$F$72,5,FALSE)</f>
        <v>GANA</v>
      </c>
      <c r="U158" s="31">
        <f t="shared" si="27"/>
        <v>108.437256</v>
      </c>
      <c r="V158" s="31">
        <f t="shared" si="28"/>
        <v>89.368785000000003</v>
      </c>
    </row>
    <row r="159" spans="1:25" ht="14.45">
      <c r="A159" s="7" t="s">
        <v>33</v>
      </c>
      <c r="B159" s="51" t="s">
        <v>40</v>
      </c>
      <c r="C159" s="9" t="s">
        <v>135</v>
      </c>
      <c r="D159" s="8" t="s">
        <v>193</v>
      </c>
      <c r="E159" s="8" t="str">
        <f t="shared" si="24"/>
        <v>HERRERA CABRERA JENNY JACQUELINECREMA</v>
      </c>
      <c r="F159" s="34">
        <v>1567.09</v>
      </c>
      <c r="G159" s="34">
        <v>1567.09</v>
      </c>
      <c r="H159" s="34">
        <v>1567.09</v>
      </c>
      <c r="I159" s="34">
        <f t="shared" si="23"/>
        <v>4701.2699999999995</v>
      </c>
      <c r="J159" s="29">
        <v>3.5000000000000003E-2</v>
      </c>
      <c r="K159" s="30">
        <f t="shared" si="33"/>
        <v>164.54445000000001</v>
      </c>
      <c r="L159" s="31">
        <f t="shared" si="34"/>
        <v>180.998895</v>
      </c>
      <c r="M159" s="32">
        <v>2391.2424000000005</v>
      </c>
      <c r="N159" s="32">
        <v>4370.8572000000004</v>
      </c>
      <c r="O159" s="32">
        <v>2500.9344000000001</v>
      </c>
      <c r="P159" s="81">
        <v>0</v>
      </c>
      <c r="Q159" s="10">
        <f t="shared" si="29"/>
        <v>9263.0340000000015</v>
      </c>
      <c r="R159" s="33">
        <f t="shared" si="30"/>
        <v>1.9703258906635872</v>
      </c>
      <c r="S159" s="33" t="str">
        <f t="shared" si="31"/>
        <v>GANA</v>
      </c>
      <c r="T159" s="33" t="str">
        <f>VLOOKUP(B159,'CUOTA TOTAL'!$B$4:$F$72,5,FALSE)</f>
        <v>GANA</v>
      </c>
      <c r="U159" s="31">
        <f t="shared" si="27"/>
        <v>324.20619000000011</v>
      </c>
      <c r="V159" s="31">
        <f t="shared" si="28"/>
        <v>180.998895</v>
      </c>
    </row>
    <row r="160" spans="1:25" ht="14.45">
      <c r="A160" s="7" t="s">
        <v>33</v>
      </c>
      <c r="B160" s="51" t="s">
        <v>40</v>
      </c>
      <c r="C160" s="9" t="s">
        <v>135</v>
      </c>
      <c r="D160" s="8" t="s">
        <v>194</v>
      </c>
      <c r="E160" s="8" t="str">
        <f t="shared" si="24"/>
        <v>HERRERA CABRERA JENNY JACQUELINELIQUIDO</v>
      </c>
      <c r="F160" s="34">
        <v>421.1</v>
      </c>
      <c r="G160" s="34">
        <v>421.1</v>
      </c>
      <c r="H160" s="34">
        <v>421.1</v>
      </c>
      <c r="I160" s="34">
        <f t="shared" si="23"/>
        <v>1263.3000000000002</v>
      </c>
      <c r="J160" s="29">
        <v>1.4999999999999999E-2</v>
      </c>
      <c r="K160" s="30">
        <f t="shared" si="33"/>
        <v>18.9495</v>
      </c>
      <c r="L160" s="31">
        <f t="shared" si="34"/>
        <v>20.844450000000005</v>
      </c>
      <c r="M160" s="32">
        <v>1136.52</v>
      </c>
      <c r="N160" s="32">
        <v>466.12480000000011</v>
      </c>
      <c r="O160" s="32">
        <v>324.72000000000003</v>
      </c>
      <c r="P160" s="81">
        <v>0</v>
      </c>
      <c r="Q160" s="10">
        <f t="shared" si="29"/>
        <v>1927.3648000000001</v>
      </c>
      <c r="R160" s="33">
        <f t="shared" si="30"/>
        <v>1.5256588300482861</v>
      </c>
      <c r="S160" s="33" t="str">
        <f t="shared" si="31"/>
        <v>GANA</v>
      </c>
      <c r="T160" s="33" t="str">
        <f>VLOOKUP(B160,'CUOTA TOTAL'!$B$4:$F$72,5,FALSE)</f>
        <v>GANA</v>
      </c>
      <c r="U160" s="31">
        <f t="shared" si="27"/>
        <v>28.910471999999999</v>
      </c>
      <c r="V160" s="31">
        <f t="shared" si="28"/>
        <v>20.844450000000005</v>
      </c>
    </row>
    <row r="161" spans="1:22" ht="14.45">
      <c r="A161" s="7" t="s">
        <v>33</v>
      </c>
      <c r="B161" s="51" t="s">
        <v>40</v>
      </c>
      <c r="C161" s="9" t="s">
        <v>135</v>
      </c>
      <c r="D161" s="8" t="s">
        <v>196</v>
      </c>
      <c r="E161" s="8" t="str">
        <f t="shared" si="24"/>
        <v>HERRERA CABRERA JENNY JACQUELINEPOLVO DETERGENTE</v>
      </c>
      <c r="F161" s="34">
        <v>4162.25</v>
      </c>
      <c r="G161" s="34">
        <v>4162.25</v>
      </c>
      <c r="H161" s="34">
        <v>4162.25</v>
      </c>
      <c r="I161" s="34">
        <f t="shared" si="23"/>
        <v>12486.75</v>
      </c>
      <c r="J161" s="29">
        <v>4.4999999999999998E-2</v>
      </c>
      <c r="K161" s="30">
        <f t="shared" si="33"/>
        <v>561.90374999999995</v>
      </c>
      <c r="L161" s="31">
        <f t="shared" si="34"/>
        <v>618.09412500000008</v>
      </c>
      <c r="M161" s="32">
        <v>6611.1488000000008</v>
      </c>
      <c r="N161" s="32">
        <v>837.04319999999996</v>
      </c>
      <c r="O161" s="32">
        <v>7469.0271999999995</v>
      </c>
      <c r="P161" s="81">
        <v>0</v>
      </c>
      <c r="Q161" s="10">
        <f t="shared" si="29"/>
        <v>14917.2192</v>
      </c>
      <c r="R161" s="33">
        <f t="shared" si="30"/>
        <v>1.1946438584899994</v>
      </c>
      <c r="S161" s="33" t="str">
        <f t="shared" si="31"/>
        <v>GANA</v>
      </c>
      <c r="T161" s="33" t="str">
        <f>VLOOKUP(B161,'CUOTA TOTAL'!$B$4:$F$72,5,FALSE)</f>
        <v>GANA</v>
      </c>
      <c r="U161" s="31">
        <f t="shared" si="27"/>
        <v>671.27486399999998</v>
      </c>
      <c r="V161" s="31">
        <f t="shared" si="28"/>
        <v>618.09412500000008</v>
      </c>
    </row>
    <row r="162" spans="1:22" ht="14.45">
      <c r="A162" s="7" t="s">
        <v>33</v>
      </c>
      <c r="B162" s="51" t="s">
        <v>40</v>
      </c>
      <c r="C162" s="9" t="s">
        <v>135</v>
      </c>
      <c r="D162" s="8" t="s">
        <v>197</v>
      </c>
      <c r="E162" s="8" t="str">
        <f t="shared" si="24"/>
        <v>HERRERA CABRERA JENNY JACQUELINEOTRAS CATEGORIAS</v>
      </c>
      <c r="F162" s="34"/>
      <c r="G162" s="34"/>
      <c r="H162" s="34"/>
      <c r="I162" s="34">
        <f t="shared" si="23"/>
        <v>0</v>
      </c>
      <c r="J162" s="29"/>
      <c r="K162" s="30">
        <f t="shared" si="33"/>
        <v>0</v>
      </c>
      <c r="L162" s="31">
        <f t="shared" si="34"/>
        <v>0</v>
      </c>
      <c r="M162" s="32">
        <v>0</v>
      </c>
      <c r="N162" s="32">
        <v>0</v>
      </c>
      <c r="O162" s="32">
        <v>0</v>
      </c>
      <c r="P162" s="81">
        <v>0</v>
      </c>
      <c r="Q162" s="10">
        <f t="shared" si="29"/>
        <v>0</v>
      </c>
      <c r="R162" s="33">
        <f t="shared" si="30"/>
        <v>0</v>
      </c>
      <c r="S162" s="33" t="str">
        <f t="shared" si="31"/>
        <v>NO GANA</v>
      </c>
      <c r="T162" s="33" t="str">
        <f>VLOOKUP(B162,'CUOTA TOTAL'!$B$4:$F$72,5,FALSE)</f>
        <v>GANA</v>
      </c>
      <c r="U162" s="31">
        <f t="shared" si="27"/>
        <v>0</v>
      </c>
      <c r="V162" s="31">
        <f t="shared" si="28"/>
        <v>0</v>
      </c>
    </row>
    <row r="163" spans="1:22" ht="14.45">
      <c r="A163" s="7" t="s">
        <v>109</v>
      </c>
      <c r="B163" s="51" t="s">
        <v>29</v>
      </c>
      <c r="C163" s="9" t="s">
        <v>199</v>
      </c>
      <c r="D163" s="8" t="s">
        <v>165</v>
      </c>
      <c r="E163" s="8" t="str">
        <f t="shared" si="24"/>
        <v>GUADALUPE CASTILLO ERNESTO VICENTEBARRA</v>
      </c>
      <c r="F163" s="28">
        <v>1017</v>
      </c>
      <c r="G163" s="28">
        <v>1017</v>
      </c>
      <c r="H163" s="28">
        <v>1018</v>
      </c>
      <c r="I163" s="34">
        <f t="shared" si="23"/>
        <v>3052</v>
      </c>
      <c r="J163" s="29">
        <v>1.4999999999999999E-2</v>
      </c>
      <c r="K163" s="30">
        <f t="shared" ref="K163:K172" si="35">+I163*J163</f>
        <v>45.78</v>
      </c>
      <c r="L163" s="31">
        <f t="shared" ref="L163:L172" si="36">(I163*1.1)*J163</f>
        <v>50.358000000000004</v>
      </c>
      <c r="M163" s="32">
        <v>0</v>
      </c>
      <c r="N163" s="32">
        <v>920.12400000000002</v>
      </c>
      <c r="O163" s="32">
        <v>320.47199999999998</v>
      </c>
      <c r="P163" s="82">
        <v>0</v>
      </c>
      <c r="Q163" s="10">
        <f t="shared" si="29"/>
        <v>1240.596</v>
      </c>
      <c r="R163" s="33">
        <f t="shared" si="30"/>
        <v>0.40648623853211008</v>
      </c>
      <c r="S163" s="33" t="str">
        <f t="shared" si="31"/>
        <v>NO GANA</v>
      </c>
      <c r="T163" s="33" t="str">
        <f>VLOOKUP(B163,'CUOTA TOTAL'!$B$4:$F$72,5,FALSE)</f>
        <v>GANA</v>
      </c>
      <c r="U163" s="31">
        <f t="shared" si="27"/>
        <v>0</v>
      </c>
      <c r="V163" s="31">
        <f t="shared" si="28"/>
        <v>0</v>
      </c>
    </row>
    <row r="164" spans="1:22" ht="14.45">
      <c r="A164" s="7" t="s">
        <v>109</v>
      </c>
      <c r="B164" s="51" t="s">
        <v>29</v>
      </c>
      <c r="C164" s="9" t="s">
        <v>199</v>
      </c>
      <c r="D164" s="8" t="s">
        <v>193</v>
      </c>
      <c r="E164" s="8" t="str">
        <f t="shared" si="24"/>
        <v>GUADALUPE CASTILLO ERNESTO VICENTECREMA</v>
      </c>
      <c r="F164" s="28">
        <v>6202</v>
      </c>
      <c r="G164" s="52">
        <v>6202</v>
      </c>
      <c r="H164" s="28">
        <v>6204</v>
      </c>
      <c r="I164" s="34">
        <f t="shared" si="23"/>
        <v>18608</v>
      </c>
      <c r="J164" s="29">
        <v>0.04</v>
      </c>
      <c r="K164" s="30">
        <f t="shared" si="35"/>
        <v>744.32</v>
      </c>
      <c r="L164" s="31">
        <f t="shared" si="36"/>
        <v>818.75200000000018</v>
      </c>
      <c r="M164" s="32">
        <v>5576.579999999999</v>
      </c>
      <c r="N164" s="32">
        <v>6866.4660000000003</v>
      </c>
      <c r="O164" s="32">
        <v>8967.9279999999999</v>
      </c>
      <c r="P164" s="82">
        <v>0</v>
      </c>
      <c r="Q164" s="10">
        <f t="shared" si="29"/>
        <v>21410.973999999998</v>
      </c>
      <c r="R164" s="33">
        <f t="shared" si="30"/>
        <v>1.1506327386070507</v>
      </c>
      <c r="S164" s="33" t="str">
        <f t="shared" si="31"/>
        <v>GANA</v>
      </c>
      <c r="T164" s="33" t="str">
        <f>VLOOKUP(B164,'CUOTA TOTAL'!$B$4:$F$72,5,FALSE)</f>
        <v>GANA</v>
      </c>
      <c r="U164" s="31">
        <f t="shared" si="27"/>
        <v>856.43895999999995</v>
      </c>
      <c r="V164" s="31">
        <f t="shared" si="28"/>
        <v>818.75200000000018</v>
      </c>
    </row>
    <row r="165" spans="1:22" ht="14.45">
      <c r="A165" s="7" t="s">
        <v>109</v>
      </c>
      <c r="B165" s="51" t="s">
        <v>29</v>
      </c>
      <c r="C165" s="9" t="s">
        <v>199</v>
      </c>
      <c r="D165" s="8" t="s">
        <v>194</v>
      </c>
      <c r="E165" s="8" t="str">
        <f t="shared" si="24"/>
        <v>GUADALUPE CASTILLO ERNESTO VICENTELIQUIDO</v>
      </c>
      <c r="F165" s="28">
        <v>605</v>
      </c>
      <c r="G165" s="28">
        <v>605</v>
      </c>
      <c r="H165" s="28">
        <v>607</v>
      </c>
      <c r="I165" s="34">
        <f t="shared" si="23"/>
        <v>1817</v>
      </c>
      <c r="J165" s="29">
        <v>1.4999999999999999E-2</v>
      </c>
      <c r="K165" s="30">
        <f t="shared" si="35"/>
        <v>27.254999999999999</v>
      </c>
      <c r="L165" s="31">
        <f t="shared" si="36"/>
        <v>29.980500000000003</v>
      </c>
      <c r="M165" s="32">
        <v>530.76800000000003</v>
      </c>
      <c r="N165" s="32">
        <v>97.415999999999997</v>
      </c>
      <c r="O165" s="32">
        <v>438.92800000000005</v>
      </c>
      <c r="P165" s="82">
        <v>0</v>
      </c>
      <c r="Q165" s="10">
        <f t="shared" si="29"/>
        <v>1067.1120000000001</v>
      </c>
      <c r="R165" s="33">
        <f t="shared" si="30"/>
        <v>0.58729334067143646</v>
      </c>
      <c r="S165" s="33" t="str">
        <f t="shared" si="31"/>
        <v>NO GANA</v>
      </c>
      <c r="T165" s="33" t="str">
        <f>VLOOKUP(B165,'CUOTA TOTAL'!$B$4:$F$72,5,FALSE)</f>
        <v>GANA</v>
      </c>
      <c r="U165" s="31">
        <f t="shared" si="27"/>
        <v>0</v>
      </c>
      <c r="V165" s="31">
        <f t="shared" si="28"/>
        <v>0</v>
      </c>
    </row>
    <row r="166" spans="1:22" ht="14.45">
      <c r="A166" s="7" t="s">
        <v>109</v>
      </c>
      <c r="B166" s="51" t="s">
        <v>29</v>
      </c>
      <c r="C166" s="9" t="s">
        <v>199</v>
      </c>
      <c r="D166" s="8" t="s">
        <v>196</v>
      </c>
      <c r="E166" s="8" t="str">
        <f t="shared" si="24"/>
        <v>GUADALUPE CASTILLO ERNESTO VICENTEPOLVO DETERGENTE</v>
      </c>
      <c r="F166" s="28">
        <v>2481</v>
      </c>
      <c r="G166" s="28">
        <v>2481</v>
      </c>
      <c r="H166" s="28">
        <v>2482</v>
      </c>
      <c r="I166" s="34">
        <f t="shared" si="23"/>
        <v>7444</v>
      </c>
      <c r="J166" s="29">
        <v>0.04</v>
      </c>
      <c r="K166" s="30">
        <f t="shared" si="35"/>
        <v>297.76</v>
      </c>
      <c r="L166" s="31">
        <f t="shared" si="36"/>
        <v>327.536</v>
      </c>
      <c r="M166" s="32">
        <v>4232.0040000000008</v>
      </c>
      <c r="N166" s="32">
        <v>5404.6680000000006</v>
      </c>
      <c r="O166" s="32">
        <v>1093.0919999999999</v>
      </c>
      <c r="P166" s="82">
        <v>0</v>
      </c>
      <c r="Q166" s="10">
        <f t="shared" si="29"/>
        <v>10729.764000000003</v>
      </c>
      <c r="R166" s="33">
        <f t="shared" si="30"/>
        <v>1.4413976356797424</v>
      </c>
      <c r="S166" s="33" t="str">
        <f t="shared" si="31"/>
        <v>GANA</v>
      </c>
      <c r="T166" s="33" t="str">
        <f>VLOOKUP(B166,'CUOTA TOTAL'!$B$4:$F$72,5,FALSE)</f>
        <v>GANA</v>
      </c>
      <c r="U166" s="31">
        <f t="shared" si="27"/>
        <v>429.19056000000012</v>
      </c>
      <c r="V166" s="31">
        <f t="shared" si="28"/>
        <v>327.536</v>
      </c>
    </row>
    <row r="167" spans="1:22" ht="14.45">
      <c r="A167" s="7" t="s">
        <v>109</v>
      </c>
      <c r="B167" s="51" t="s">
        <v>29</v>
      </c>
      <c r="C167" s="9" t="s">
        <v>199</v>
      </c>
      <c r="D167" s="8" t="s">
        <v>197</v>
      </c>
      <c r="E167" s="8" t="str">
        <f t="shared" si="24"/>
        <v>GUADALUPE CASTILLO ERNESTO VICENTEOTRAS CATEGORIAS</v>
      </c>
      <c r="F167" s="28"/>
      <c r="G167" s="28"/>
      <c r="H167" s="28"/>
      <c r="I167" s="34">
        <f t="shared" si="23"/>
        <v>0</v>
      </c>
      <c r="J167" s="29"/>
      <c r="K167" s="30">
        <f t="shared" si="35"/>
        <v>0</v>
      </c>
      <c r="L167" s="31">
        <f t="shared" si="36"/>
        <v>0</v>
      </c>
      <c r="M167" s="32">
        <v>0</v>
      </c>
      <c r="N167" s="32">
        <v>0</v>
      </c>
      <c r="O167" s="32">
        <v>0</v>
      </c>
      <c r="P167" s="82">
        <v>0</v>
      </c>
      <c r="Q167" s="10">
        <f t="shared" si="29"/>
        <v>0</v>
      </c>
      <c r="R167" s="33">
        <f t="shared" si="30"/>
        <v>0</v>
      </c>
      <c r="S167" s="33" t="str">
        <f t="shared" si="31"/>
        <v>NO GANA</v>
      </c>
      <c r="T167" s="33" t="str">
        <f>VLOOKUP(B167,'CUOTA TOTAL'!$B$4:$F$72,5,FALSE)</f>
        <v>GANA</v>
      </c>
      <c r="U167" s="31">
        <f t="shared" si="27"/>
        <v>0</v>
      </c>
      <c r="V167" s="31">
        <f t="shared" si="28"/>
        <v>0</v>
      </c>
    </row>
    <row r="168" spans="1:22" ht="14.45">
      <c r="A168" s="7" t="s">
        <v>109</v>
      </c>
      <c r="B168" s="51" t="s">
        <v>28</v>
      </c>
      <c r="C168" s="9" t="s">
        <v>135</v>
      </c>
      <c r="D168" s="8" t="s">
        <v>165</v>
      </c>
      <c r="E168" s="8" t="str">
        <f t="shared" si="24"/>
        <v>DISTRIBUIDORA SUPERALIANZA S.A.SBARRA</v>
      </c>
      <c r="F168" s="28">
        <v>73</v>
      </c>
      <c r="G168" s="28">
        <v>73</v>
      </c>
      <c r="H168" s="28">
        <v>73</v>
      </c>
      <c r="I168" s="34">
        <f t="shared" si="23"/>
        <v>219</v>
      </c>
      <c r="J168" s="29">
        <v>1.4999999999999999E-2</v>
      </c>
      <c r="K168" s="30">
        <f t="shared" si="35"/>
        <v>3.2849999999999997</v>
      </c>
      <c r="L168" s="31">
        <f t="shared" si="36"/>
        <v>3.6135000000000002</v>
      </c>
      <c r="M168" s="32">
        <v>0</v>
      </c>
      <c r="N168" s="32">
        <v>42.755000000000003</v>
      </c>
      <c r="O168" s="32">
        <v>0</v>
      </c>
      <c r="P168" s="82">
        <v>0</v>
      </c>
      <c r="Q168" s="10">
        <f t="shared" si="29"/>
        <v>42.755000000000003</v>
      </c>
      <c r="R168" s="33">
        <f t="shared" si="30"/>
        <v>0.19522831050228312</v>
      </c>
      <c r="S168" s="33" t="str">
        <f t="shared" si="31"/>
        <v>NO GANA</v>
      </c>
      <c r="T168" s="33" t="str">
        <f>VLOOKUP(B168,'CUOTA TOTAL'!$B$4:$F$72,5,FALSE)</f>
        <v>GANA</v>
      </c>
      <c r="U168" s="31">
        <f t="shared" si="27"/>
        <v>0</v>
      </c>
      <c r="V168" s="31">
        <f t="shared" si="28"/>
        <v>0</v>
      </c>
    </row>
    <row r="169" spans="1:22" ht="14.45">
      <c r="A169" s="7" t="s">
        <v>109</v>
      </c>
      <c r="B169" s="51" t="s">
        <v>28</v>
      </c>
      <c r="C169" s="9" t="s">
        <v>135</v>
      </c>
      <c r="D169" s="8" t="s">
        <v>193</v>
      </c>
      <c r="E169" s="8" t="str">
        <f t="shared" si="24"/>
        <v>DISTRIBUIDORA SUPERALIANZA S.A.SCREMA</v>
      </c>
      <c r="F169" s="28">
        <v>700</v>
      </c>
      <c r="G169" s="28">
        <v>700</v>
      </c>
      <c r="H169" s="28">
        <v>700</v>
      </c>
      <c r="I169" s="34">
        <f t="shared" si="23"/>
        <v>2100</v>
      </c>
      <c r="J169" s="29">
        <v>0.04</v>
      </c>
      <c r="K169" s="30">
        <f t="shared" si="35"/>
        <v>84</v>
      </c>
      <c r="L169" s="31">
        <f t="shared" si="36"/>
        <v>92.4</v>
      </c>
      <c r="M169" s="32">
        <v>0</v>
      </c>
      <c r="N169" s="32">
        <v>1099.8720000000001</v>
      </c>
      <c r="O169" s="32">
        <v>1185</v>
      </c>
      <c r="P169" s="82">
        <v>0</v>
      </c>
      <c r="Q169" s="10">
        <f t="shared" si="29"/>
        <v>2284.8720000000003</v>
      </c>
      <c r="R169" s="33">
        <f t="shared" si="30"/>
        <v>1.088034285714286</v>
      </c>
      <c r="S169" s="33" t="str">
        <f t="shared" si="31"/>
        <v>GANA</v>
      </c>
      <c r="T169" s="33" t="str">
        <f>VLOOKUP(B169,'CUOTA TOTAL'!$B$4:$F$72,5,FALSE)</f>
        <v>GANA</v>
      </c>
      <c r="U169" s="31">
        <f t="shared" si="27"/>
        <v>91.394880000000015</v>
      </c>
      <c r="V169" s="31">
        <f t="shared" si="28"/>
        <v>91.394880000000015</v>
      </c>
    </row>
    <row r="170" spans="1:22" ht="14.45">
      <c r="A170" s="7" t="s">
        <v>109</v>
      </c>
      <c r="B170" s="51" t="s">
        <v>28</v>
      </c>
      <c r="C170" s="9" t="s">
        <v>135</v>
      </c>
      <c r="D170" s="8" t="s">
        <v>194</v>
      </c>
      <c r="E170" s="8" t="str">
        <f t="shared" si="24"/>
        <v>DISTRIBUIDORA SUPERALIANZA S.A.SLIQUIDO</v>
      </c>
      <c r="F170" s="28">
        <v>67</v>
      </c>
      <c r="G170" s="28">
        <v>67</v>
      </c>
      <c r="H170" s="28">
        <v>67</v>
      </c>
      <c r="I170" s="34">
        <f t="shared" si="23"/>
        <v>201</v>
      </c>
      <c r="J170" s="29">
        <v>1.4999999999999999E-2</v>
      </c>
      <c r="K170" s="30">
        <f t="shared" si="35"/>
        <v>3.0149999999999997</v>
      </c>
      <c r="L170" s="31">
        <f t="shared" si="36"/>
        <v>3.3165</v>
      </c>
      <c r="M170" s="32">
        <v>0</v>
      </c>
      <c r="N170" s="32">
        <v>0</v>
      </c>
      <c r="O170" s="32">
        <v>0</v>
      </c>
      <c r="P170" s="82">
        <v>0</v>
      </c>
      <c r="Q170" s="10">
        <f t="shared" si="29"/>
        <v>0</v>
      </c>
      <c r="R170" s="33">
        <f t="shared" si="30"/>
        <v>0</v>
      </c>
      <c r="S170" s="33" t="str">
        <f t="shared" si="31"/>
        <v>NO GANA</v>
      </c>
      <c r="T170" s="33" t="str">
        <f>VLOOKUP(B170,'CUOTA TOTAL'!$B$4:$F$72,5,FALSE)</f>
        <v>GANA</v>
      </c>
      <c r="U170" s="31">
        <f t="shared" si="27"/>
        <v>0</v>
      </c>
      <c r="V170" s="31">
        <f t="shared" si="28"/>
        <v>0</v>
      </c>
    </row>
    <row r="171" spans="1:22" ht="14.45">
      <c r="A171" s="7" t="s">
        <v>109</v>
      </c>
      <c r="B171" s="51" t="s">
        <v>28</v>
      </c>
      <c r="C171" s="9" t="s">
        <v>135</v>
      </c>
      <c r="D171" s="8" t="s">
        <v>196</v>
      </c>
      <c r="E171" s="8" t="str">
        <f t="shared" si="24"/>
        <v>DISTRIBUIDORA SUPERALIANZA S.A.SPOLVO DETERGENTE</v>
      </c>
      <c r="F171" s="28">
        <v>700</v>
      </c>
      <c r="G171" s="28">
        <v>700</v>
      </c>
      <c r="H171" s="28">
        <v>700</v>
      </c>
      <c r="I171" s="34">
        <f t="shared" si="23"/>
        <v>2100</v>
      </c>
      <c r="J171" s="29">
        <v>0.04</v>
      </c>
      <c r="K171" s="30">
        <f t="shared" si="35"/>
        <v>84</v>
      </c>
      <c r="L171" s="31">
        <f t="shared" si="36"/>
        <v>92.4</v>
      </c>
      <c r="M171" s="32">
        <v>0</v>
      </c>
      <c r="N171" s="32">
        <v>3147.1936000000001</v>
      </c>
      <c r="O171" s="32">
        <v>0</v>
      </c>
      <c r="P171" s="82">
        <v>0</v>
      </c>
      <c r="Q171" s="10">
        <f t="shared" si="29"/>
        <v>3147.1936000000001</v>
      </c>
      <c r="R171" s="33">
        <f t="shared" si="30"/>
        <v>1.498663619047619</v>
      </c>
      <c r="S171" s="33" t="str">
        <f t="shared" si="31"/>
        <v>GANA</v>
      </c>
      <c r="T171" s="33" t="str">
        <f>VLOOKUP(B171,'CUOTA TOTAL'!$B$4:$F$72,5,FALSE)</f>
        <v>GANA</v>
      </c>
      <c r="U171" s="31">
        <f t="shared" si="27"/>
        <v>125.88774400000001</v>
      </c>
      <c r="V171" s="31">
        <f t="shared" si="28"/>
        <v>92.4</v>
      </c>
    </row>
    <row r="172" spans="1:22" ht="14.45">
      <c r="A172" s="7" t="s">
        <v>109</v>
      </c>
      <c r="B172" s="51" t="s">
        <v>28</v>
      </c>
      <c r="C172" s="9" t="s">
        <v>135</v>
      </c>
      <c r="D172" s="8" t="s">
        <v>197</v>
      </c>
      <c r="E172" s="8" t="str">
        <f t="shared" si="24"/>
        <v>DISTRIBUIDORA SUPERALIANZA S.A.SOTRAS CATEGORIAS</v>
      </c>
      <c r="F172" s="34">
        <v>0</v>
      </c>
      <c r="G172" s="34">
        <v>0</v>
      </c>
      <c r="H172" s="34">
        <v>0</v>
      </c>
      <c r="I172" s="34">
        <f t="shared" si="23"/>
        <v>0</v>
      </c>
      <c r="J172" s="29"/>
      <c r="K172" s="30">
        <f t="shared" si="35"/>
        <v>0</v>
      </c>
      <c r="L172" s="31">
        <f t="shared" si="36"/>
        <v>0</v>
      </c>
      <c r="M172" s="32">
        <v>0</v>
      </c>
      <c r="N172" s="32">
        <v>0</v>
      </c>
      <c r="O172" s="32">
        <v>0</v>
      </c>
      <c r="P172" s="82">
        <v>0</v>
      </c>
      <c r="Q172" s="10">
        <f t="shared" si="29"/>
        <v>0</v>
      </c>
      <c r="R172" s="33">
        <f t="shared" si="30"/>
        <v>0</v>
      </c>
      <c r="S172" s="33" t="str">
        <f t="shared" si="31"/>
        <v>NO GANA</v>
      </c>
      <c r="T172" s="33" t="str">
        <f>VLOOKUP(B172,'CUOTA TOTAL'!$B$4:$F$72,5,FALSE)</f>
        <v>GANA</v>
      </c>
      <c r="U172" s="31">
        <f t="shared" si="27"/>
        <v>0</v>
      </c>
      <c r="V172" s="31">
        <f t="shared" si="28"/>
        <v>0</v>
      </c>
    </row>
    <row r="173" spans="1:22" ht="14.45">
      <c r="A173" s="7" t="s">
        <v>33</v>
      </c>
      <c r="B173" s="51" t="s">
        <v>38</v>
      </c>
      <c r="C173" s="9" t="s">
        <v>135</v>
      </c>
      <c r="D173" s="8" t="s">
        <v>165</v>
      </c>
      <c r="E173" s="8" t="str">
        <f t="shared" si="24"/>
        <v>DISTRIBUIDORA SUPER TIENDA QUEVEDO LUMACAI SABARRA</v>
      </c>
      <c r="F173" s="34">
        <v>1913.15</v>
      </c>
      <c r="G173" s="34">
        <v>1913.15</v>
      </c>
      <c r="H173" s="34">
        <v>1913.15</v>
      </c>
      <c r="I173" s="34">
        <f t="shared" si="23"/>
        <v>5739.4500000000007</v>
      </c>
      <c r="J173" s="29">
        <v>1.4999999999999999E-2</v>
      </c>
      <c r="K173" s="30">
        <f t="shared" si="33"/>
        <v>86.091750000000005</v>
      </c>
      <c r="L173" s="31">
        <f t="shared" si="34"/>
        <v>94.700925000000012</v>
      </c>
      <c r="M173" s="32">
        <v>0</v>
      </c>
      <c r="N173" s="32">
        <v>0</v>
      </c>
      <c r="O173" s="32">
        <v>1868.6407999999999</v>
      </c>
      <c r="P173" s="81">
        <v>0</v>
      </c>
      <c r="Q173" s="10">
        <f t="shared" si="29"/>
        <v>1868.6407999999999</v>
      </c>
      <c r="R173" s="33">
        <f t="shared" si="30"/>
        <v>0.3255783742344649</v>
      </c>
      <c r="S173" s="33" t="str">
        <f t="shared" si="31"/>
        <v>NO GANA</v>
      </c>
      <c r="T173" s="33" t="str">
        <f>VLOOKUP(B173,'CUOTA TOTAL'!$B$4:$F$72,5,FALSE)</f>
        <v>NO GANA</v>
      </c>
      <c r="U173" s="31">
        <f t="shared" si="27"/>
        <v>0</v>
      </c>
      <c r="V173" s="31">
        <f t="shared" si="28"/>
        <v>0</v>
      </c>
    </row>
    <row r="174" spans="1:22" ht="14.45">
      <c r="A174" s="7" t="s">
        <v>33</v>
      </c>
      <c r="B174" s="51" t="s">
        <v>38</v>
      </c>
      <c r="C174" s="9" t="s">
        <v>135</v>
      </c>
      <c r="D174" s="8" t="s">
        <v>193</v>
      </c>
      <c r="E174" s="8" t="str">
        <f t="shared" si="24"/>
        <v>DISTRIBUIDORA SUPER TIENDA QUEVEDO LUMACAI SACREMA</v>
      </c>
      <c r="F174" s="34">
        <v>974.98</v>
      </c>
      <c r="G174" s="34">
        <v>974.98</v>
      </c>
      <c r="H174" s="34">
        <v>974.98</v>
      </c>
      <c r="I174" s="34">
        <f t="shared" si="23"/>
        <v>2924.94</v>
      </c>
      <c r="J174" s="29">
        <v>3.5000000000000003E-2</v>
      </c>
      <c r="K174" s="30">
        <f t="shared" si="33"/>
        <v>102.37290000000002</v>
      </c>
      <c r="L174" s="31">
        <f t="shared" si="34"/>
        <v>112.61019000000002</v>
      </c>
      <c r="M174" s="32">
        <v>0</v>
      </c>
      <c r="N174" s="32">
        <v>0</v>
      </c>
      <c r="O174" s="32">
        <v>3980.4509999999996</v>
      </c>
      <c r="P174" s="81">
        <v>0</v>
      </c>
      <c r="Q174" s="10">
        <f t="shared" si="29"/>
        <v>3980.4509999999996</v>
      </c>
      <c r="R174" s="33">
        <f t="shared" si="30"/>
        <v>1.360865863915157</v>
      </c>
      <c r="S174" s="33" t="str">
        <f t="shared" si="31"/>
        <v>GANA</v>
      </c>
      <c r="T174" s="33" t="str">
        <f>VLOOKUP(B174,'CUOTA TOTAL'!$B$4:$F$72,5,FALSE)</f>
        <v>NO GANA</v>
      </c>
      <c r="U174" s="31">
        <f t="shared" si="27"/>
        <v>0</v>
      </c>
      <c r="V174" s="31">
        <f t="shared" si="28"/>
        <v>0</v>
      </c>
    </row>
    <row r="175" spans="1:22" ht="14.45">
      <c r="A175" s="7" t="s">
        <v>33</v>
      </c>
      <c r="B175" s="51" t="s">
        <v>38</v>
      </c>
      <c r="C175" s="9" t="s">
        <v>135</v>
      </c>
      <c r="D175" s="8" t="s">
        <v>194</v>
      </c>
      <c r="E175" s="8" t="str">
        <f t="shared" si="24"/>
        <v>DISTRIBUIDORA SUPER TIENDA QUEVEDO LUMACAI SALIQUIDO</v>
      </c>
      <c r="F175" s="34">
        <v>354.05</v>
      </c>
      <c r="G175" s="34">
        <v>354.05</v>
      </c>
      <c r="H175" s="34">
        <v>354.05</v>
      </c>
      <c r="I175" s="34">
        <f t="shared" si="23"/>
        <v>1062.1500000000001</v>
      </c>
      <c r="J175" s="29">
        <v>1.4999999999999999E-2</v>
      </c>
      <c r="K175" s="30">
        <f t="shared" si="33"/>
        <v>15.932250000000002</v>
      </c>
      <c r="L175" s="31">
        <f t="shared" si="34"/>
        <v>17.525475000000004</v>
      </c>
      <c r="M175" s="32">
        <v>0</v>
      </c>
      <c r="N175" s="32">
        <v>0</v>
      </c>
      <c r="O175" s="32">
        <v>243.3168</v>
      </c>
      <c r="P175" s="81">
        <v>0</v>
      </c>
      <c r="Q175" s="10">
        <f t="shared" si="29"/>
        <v>243.3168</v>
      </c>
      <c r="R175" s="33">
        <f t="shared" si="30"/>
        <v>0.22907950854399095</v>
      </c>
      <c r="S175" s="33" t="str">
        <f t="shared" si="31"/>
        <v>NO GANA</v>
      </c>
      <c r="T175" s="33" t="str">
        <f>VLOOKUP(B175,'CUOTA TOTAL'!$B$4:$F$72,5,FALSE)</f>
        <v>NO GANA</v>
      </c>
      <c r="U175" s="31">
        <f t="shared" si="27"/>
        <v>0</v>
      </c>
      <c r="V175" s="31">
        <f t="shared" si="28"/>
        <v>0</v>
      </c>
    </row>
    <row r="176" spans="1:22" ht="14.45">
      <c r="A176" s="7" t="s">
        <v>33</v>
      </c>
      <c r="B176" s="51" t="s">
        <v>38</v>
      </c>
      <c r="C176" s="9" t="s">
        <v>135</v>
      </c>
      <c r="D176" s="8" t="s">
        <v>196</v>
      </c>
      <c r="E176" s="8" t="str">
        <f t="shared" si="24"/>
        <v>DISTRIBUIDORA SUPER TIENDA QUEVEDO LUMACAI SAPOLVO DETERGENTE</v>
      </c>
      <c r="F176" s="34">
        <v>2894.54</v>
      </c>
      <c r="G176" s="34">
        <v>2894.54</v>
      </c>
      <c r="H176" s="34">
        <v>2894.54</v>
      </c>
      <c r="I176" s="34">
        <f t="shared" si="23"/>
        <v>8683.619999999999</v>
      </c>
      <c r="J176" s="29">
        <v>4.4999999999999998E-2</v>
      </c>
      <c r="K176" s="30">
        <f t="shared" si="33"/>
        <v>390.76289999999995</v>
      </c>
      <c r="L176" s="31">
        <f t="shared" si="34"/>
        <v>429.83918999999997</v>
      </c>
      <c r="M176" s="32">
        <v>0</v>
      </c>
      <c r="N176" s="32">
        <v>0</v>
      </c>
      <c r="O176" s="32">
        <v>1774.5642</v>
      </c>
      <c r="P176" s="81">
        <v>0</v>
      </c>
      <c r="Q176" s="10">
        <f t="shared" si="29"/>
        <v>1774.5642</v>
      </c>
      <c r="R176" s="33">
        <f t="shared" si="30"/>
        <v>0.2043576526840189</v>
      </c>
      <c r="S176" s="33" t="str">
        <f t="shared" si="31"/>
        <v>NO GANA</v>
      </c>
      <c r="T176" s="33" t="str">
        <f>VLOOKUP(B176,'CUOTA TOTAL'!$B$4:$F$72,5,FALSE)</f>
        <v>NO GANA</v>
      </c>
      <c r="U176" s="31">
        <f t="shared" si="27"/>
        <v>0</v>
      </c>
      <c r="V176" s="31">
        <f t="shared" si="28"/>
        <v>0</v>
      </c>
    </row>
    <row r="177" spans="1:22" ht="14.45">
      <c r="A177" s="7" t="s">
        <v>33</v>
      </c>
      <c r="B177" s="51" t="s">
        <v>38</v>
      </c>
      <c r="C177" s="9" t="s">
        <v>135</v>
      </c>
      <c r="D177" s="8" t="s">
        <v>197</v>
      </c>
      <c r="E177" s="8" t="str">
        <f t="shared" si="24"/>
        <v>DISTRIBUIDORA SUPER TIENDA QUEVEDO LUMACAI SAOTRAS CATEGORIAS</v>
      </c>
      <c r="F177" s="34"/>
      <c r="G177" s="34"/>
      <c r="H177" s="34"/>
      <c r="I177" s="34">
        <f t="shared" si="23"/>
        <v>0</v>
      </c>
      <c r="J177" s="29"/>
      <c r="K177" s="30">
        <f t="shared" si="33"/>
        <v>0</v>
      </c>
      <c r="L177" s="31">
        <f t="shared" si="34"/>
        <v>0</v>
      </c>
      <c r="M177" s="32">
        <v>0</v>
      </c>
      <c r="N177" s="32">
        <v>0</v>
      </c>
      <c r="O177" s="32">
        <v>0</v>
      </c>
      <c r="P177" s="81">
        <v>0</v>
      </c>
      <c r="Q177" s="10">
        <f t="shared" si="29"/>
        <v>0</v>
      </c>
      <c r="R177" s="33">
        <f t="shared" si="30"/>
        <v>0</v>
      </c>
      <c r="S177" s="33" t="str">
        <f t="shared" si="31"/>
        <v>NO GANA</v>
      </c>
      <c r="T177" s="33" t="str">
        <f>VLOOKUP(B177,'CUOTA TOTAL'!$B$4:$F$72,5,FALSE)</f>
        <v>NO GANA</v>
      </c>
      <c r="U177" s="31">
        <f t="shared" si="27"/>
        <v>0</v>
      </c>
      <c r="V177" s="31">
        <f t="shared" si="28"/>
        <v>0</v>
      </c>
    </row>
    <row r="178" spans="1:22" ht="14.45">
      <c r="A178" s="7" t="s">
        <v>49</v>
      </c>
      <c r="B178" s="51" t="s">
        <v>56</v>
      </c>
      <c r="C178" s="9" t="s">
        <v>135</v>
      </c>
      <c r="D178" s="8" t="s">
        <v>165</v>
      </c>
      <c r="E178" s="8" t="str">
        <f t="shared" si="24"/>
        <v>DISPROYSER S.A.BARRA</v>
      </c>
      <c r="F178" s="28">
        <v>10599</v>
      </c>
      <c r="G178" s="28">
        <v>10599</v>
      </c>
      <c r="H178" s="28">
        <v>10599</v>
      </c>
      <c r="I178" s="34">
        <f t="shared" ref="I178:I197" si="37">+F178+G178+H178</f>
        <v>31797</v>
      </c>
      <c r="J178" s="29">
        <v>1.4999999999999999E-2</v>
      </c>
      <c r="K178" s="30">
        <f t="shared" si="33"/>
        <v>476.95499999999998</v>
      </c>
      <c r="L178" s="31">
        <f t="shared" si="34"/>
        <v>524.65050000000008</v>
      </c>
      <c r="M178" s="32">
        <v>7370.9908000000005</v>
      </c>
      <c r="N178" s="32">
        <v>11202.606400000001</v>
      </c>
      <c r="O178" s="32">
        <v>3968.0548000000003</v>
      </c>
      <c r="P178" s="81">
        <v>0</v>
      </c>
      <c r="Q178" s="10">
        <f t="shared" si="29"/>
        <v>22541.652000000002</v>
      </c>
      <c r="R178" s="33">
        <f t="shared" si="30"/>
        <v>0.70892386074157943</v>
      </c>
      <c r="S178" s="33" t="str">
        <f t="shared" si="31"/>
        <v>NO GANA</v>
      </c>
      <c r="T178" s="33" t="str">
        <f>VLOOKUP(B178,'CUOTA TOTAL'!$B$4:$F$72,5,FALSE)</f>
        <v>NO GANA</v>
      </c>
      <c r="U178" s="31">
        <f t="shared" si="27"/>
        <v>0</v>
      </c>
      <c r="V178" s="31">
        <f t="shared" si="28"/>
        <v>0</v>
      </c>
    </row>
    <row r="179" spans="1:22" ht="14.45">
      <c r="A179" s="7" t="s">
        <v>49</v>
      </c>
      <c r="B179" s="51" t="s">
        <v>56</v>
      </c>
      <c r="C179" s="9" t="s">
        <v>135</v>
      </c>
      <c r="D179" s="8" t="s">
        <v>193</v>
      </c>
      <c r="E179" s="8" t="str">
        <f t="shared" si="24"/>
        <v>DISPROYSER S.A.CREMA</v>
      </c>
      <c r="F179" s="28">
        <v>6486</v>
      </c>
      <c r="G179" s="28">
        <v>6486</v>
      </c>
      <c r="H179" s="28">
        <v>6486</v>
      </c>
      <c r="I179" s="34">
        <f t="shared" si="37"/>
        <v>19458</v>
      </c>
      <c r="J179" s="29">
        <v>3.5000000000000003E-2</v>
      </c>
      <c r="K179" s="30">
        <f t="shared" si="33"/>
        <v>681.03000000000009</v>
      </c>
      <c r="L179" s="31">
        <f t="shared" si="34"/>
        <v>749.13300000000015</v>
      </c>
      <c r="M179" s="32">
        <v>7416.4392000000025</v>
      </c>
      <c r="N179" s="32">
        <v>7422.8669999999993</v>
      </c>
      <c r="O179" s="32">
        <v>1969.7831999999999</v>
      </c>
      <c r="P179" s="81">
        <v>0</v>
      </c>
      <c r="Q179" s="10">
        <f t="shared" si="29"/>
        <v>16809.089400000004</v>
      </c>
      <c r="R179" s="33">
        <f t="shared" si="30"/>
        <v>0.86386521739130462</v>
      </c>
      <c r="S179" s="33" t="str">
        <f t="shared" si="31"/>
        <v>GANA</v>
      </c>
      <c r="T179" s="33" t="str">
        <f>VLOOKUP(B179,'CUOTA TOTAL'!$B$4:$F$72,5,FALSE)</f>
        <v>NO GANA</v>
      </c>
      <c r="U179" s="31">
        <f t="shared" si="27"/>
        <v>0</v>
      </c>
      <c r="V179" s="31">
        <f t="shared" si="28"/>
        <v>0</v>
      </c>
    </row>
    <row r="180" spans="1:22" ht="14.45">
      <c r="A180" s="7" t="s">
        <v>49</v>
      </c>
      <c r="B180" s="51" t="s">
        <v>56</v>
      </c>
      <c r="C180" s="9" t="s">
        <v>135</v>
      </c>
      <c r="D180" s="8" t="s">
        <v>194</v>
      </c>
      <c r="E180" s="8" t="str">
        <f t="shared" si="24"/>
        <v>DISPROYSER S.A.LIQUIDO</v>
      </c>
      <c r="F180" s="28">
        <v>922</v>
      </c>
      <c r="G180" s="28">
        <v>922</v>
      </c>
      <c r="H180" s="28">
        <v>922</v>
      </c>
      <c r="I180" s="34">
        <f t="shared" si="37"/>
        <v>2766</v>
      </c>
      <c r="J180" s="29">
        <v>1.4999999999999999E-2</v>
      </c>
      <c r="K180" s="30">
        <f t="shared" si="33"/>
        <v>41.49</v>
      </c>
      <c r="L180" s="31">
        <f t="shared" si="34"/>
        <v>45.639000000000003</v>
      </c>
      <c r="M180" s="32">
        <v>1731.3040000000003</v>
      </c>
      <c r="N180" s="32">
        <v>762.02879999999993</v>
      </c>
      <c r="O180" s="32">
        <v>790.16640000000007</v>
      </c>
      <c r="P180" s="81">
        <v>0</v>
      </c>
      <c r="Q180" s="10">
        <f t="shared" si="29"/>
        <v>3283.4992000000002</v>
      </c>
      <c r="R180" s="33">
        <f t="shared" si="30"/>
        <v>1.1870929862617499</v>
      </c>
      <c r="S180" s="33" t="str">
        <f t="shared" si="31"/>
        <v>GANA</v>
      </c>
      <c r="T180" s="33" t="str">
        <f>VLOOKUP(B180,'CUOTA TOTAL'!$B$4:$F$72,5,FALSE)</f>
        <v>NO GANA</v>
      </c>
      <c r="U180" s="31">
        <f t="shared" si="27"/>
        <v>0</v>
      </c>
      <c r="V180" s="31">
        <f t="shared" si="28"/>
        <v>0</v>
      </c>
    </row>
    <row r="181" spans="1:22" ht="14.45">
      <c r="A181" s="7" t="s">
        <v>49</v>
      </c>
      <c r="B181" s="51" t="s">
        <v>56</v>
      </c>
      <c r="C181" s="9" t="s">
        <v>135</v>
      </c>
      <c r="D181" s="8" t="s">
        <v>196</v>
      </c>
      <c r="E181" s="8" t="str">
        <f t="shared" si="24"/>
        <v>DISPROYSER S.A.POLVO DETERGENTE</v>
      </c>
      <c r="F181" s="28">
        <v>4100</v>
      </c>
      <c r="G181" s="28">
        <v>4100</v>
      </c>
      <c r="H181" s="28">
        <v>4100</v>
      </c>
      <c r="I181" s="34">
        <f t="shared" si="37"/>
        <v>12300</v>
      </c>
      <c r="J181" s="37">
        <v>4.4999999999999998E-2</v>
      </c>
      <c r="K181" s="30">
        <f t="shared" si="33"/>
        <v>553.5</v>
      </c>
      <c r="L181" s="31">
        <f t="shared" si="34"/>
        <v>608.85</v>
      </c>
      <c r="M181" s="32">
        <v>2278.6071999999999</v>
      </c>
      <c r="N181" s="32">
        <v>4994.0919999999996</v>
      </c>
      <c r="O181" s="32">
        <v>1386.3527999999999</v>
      </c>
      <c r="P181" s="81">
        <v>0</v>
      </c>
      <c r="Q181" s="10">
        <f t="shared" si="29"/>
        <v>8659.0519999999997</v>
      </c>
      <c r="R181" s="33">
        <f t="shared" si="30"/>
        <v>0.70398796747967474</v>
      </c>
      <c r="S181" s="33" t="str">
        <f t="shared" si="31"/>
        <v>NO GANA</v>
      </c>
      <c r="T181" s="33" t="str">
        <f>VLOOKUP(B181,'CUOTA TOTAL'!$B$4:$F$72,5,FALSE)</f>
        <v>NO GANA</v>
      </c>
      <c r="U181" s="31">
        <f t="shared" si="27"/>
        <v>0</v>
      </c>
      <c r="V181" s="31">
        <f t="shared" si="28"/>
        <v>0</v>
      </c>
    </row>
    <row r="182" spans="1:22" ht="14.45">
      <c r="A182" s="7" t="s">
        <v>49</v>
      </c>
      <c r="B182" s="51" t="s">
        <v>56</v>
      </c>
      <c r="C182" s="9" t="s">
        <v>135</v>
      </c>
      <c r="D182" s="8" t="s">
        <v>197</v>
      </c>
      <c r="E182" s="8" t="str">
        <f t="shared" si="24"/>
        <v>DISPROYSER S.A.OTRAS CATEGORIAS</v>
      </c>
      <c r="F182" s="28">
        <v>61</v>
      </c>
      <c r="G182" s="28">
        <v>61</v>
      </c>
      <c r="H182" s="28">
        <v>61</v>
      </c>
      <c r="I182" s="34">
        <f t="shared" si="37"/>
        <v>183</v>
      </c>
      <c r="J182" s="69"/>
      <c r="K182" s="30">
        <f t="shared" si="33"/>
        <v>0</v>
      </c>
      <c r="L182" s="31">
        <f t="shared" si="34"/>
        <v>0</v>
      </c>
      <c r="M182" s="32">
        <v>0</v>
      </c>
      <c r="N182" s="32">
        <v>0</v>
      </c>
      <c r="O182" s="32">
        <v>0</v>
      </c>
      <c r="P182" s="81">
        <v>0</v>
      </c>
      <c r="Q182" s="10">
        <f t="shared" si="29"/>
        <v>0</v>
      </c>
      <c r="R182" s="33">
        <f t="shared" si="30"/>
        <v>0</v>
      </c>
      <c r="S182" s="33" t="str">
        <f t="shared" si="31"/>
        <v>NO GANA</v>
      </c>
      <c r="T182" s="33" t="str">
        <f>VLOOKUP(B182,'CUOTA TOTAL'!$B$4:$F$72,5,FALSE)</f>
        <v>NO GANA</v>
      </c>
      <c r="U182" s="31">
        <f t="shared" si="27"/>
        <v>0</v>
      </c>
      <c r="V182" s="31">
        <f t="shared" si="28"/>
        <v>0</v>
      </c>
    </row>
    <row r="183" spans="1:22" ht="14.45">
      <c r="A183" s="7" t="s">
        <v>49</v>
      </c>
      <c r="B183" s="57" t="s">
        <v>50</v>
      </c>
      <c r="C183" s="38" t="s">
        <v>135</v>
      </c>
      <c r="D183" s="36" t="s">
        <v>165</v>
      </c>
      <c r="E183" s="8" t="str">
        <f t="shared" si="24"/>
        <v>ALMANE CIA. LTDA.BARRA</v>
      </c>
      <c r="F183" s="28">
        <v>3470</v>
      </c>
      <c r="G183" s="28">
        <v>3470</v>
      </c>
      <c r="H183" s="28">
        <v>3470</v>
      </c>
      <c r="I183" s="34">
        <f t="shared" si="37"/>
        <v>10410</v>
      </c>
      <c r="J183" s="29">
        <v>1.4999999999999999E-2</v>
      </c>
      <c r="K183" s="30">
        <f t="shared" si="33"/>
        <v>156.15</v>
      </c>
      <c r="L183" s="31">
        <f t="shared" si="34"/>
        <v>171.76500000000001</v>
      </c>
      <c r="M183" s="32">
        <v>6392.9664000000002</v>
      </c>
      <c r="N183" s="32">
        <v>4443.4175999999998</v>
      </c>
      <c r="O183" s="32">
        <v>2754.1567999999997</v>
      </c>
      <c r="P183" s="81">
        <v>0</v>
      </c>
      <c r="Q183" s="10">
        <f t="shared" si="29"/>
        <v>13590.540799999999</v>
      </c>
      <c r="R183" s="33">
        <f t="shared" si="30"/>
        <v>1.3055274543707971</v>
      </c>
      <c r="S183" s="33" t="str">
        <f t="shared" si="31"/>
        <v>GANA</v>
      </c>
      <c r="T183" s="33" t="str">
        <f>VLOOKUP(B183,'CUOTA TOTAL'!$B$4:$F$72,5,FALSE)</f>
        <v>GANA</v>
      </c>
      <c r="U183" s="31">
        <f t="shared" si="27"/>
        <v>203.85811199999998</v>
      </c>
      <c r="V183" s="31">
        <f t="shared" si="28"/>
        <v>171.76500000000001</v>
      </c>
    </row>
    <row r="184" spans="1:22" ht="14.45">
      <c r="A184" s="7" t="s">
        <v>49</v>
      </c>
      <c r="B184" s="57" t="s">
        <v>50</v>
      </c>
      <c r="C184" s="38" t="s">
        <v>135</v>
      </c>
      <c r="D184" s="36" t="s">
        <v>193</v>
      </c>
      <c r="E184" s="8" t="str">
        <f t="shared" si="24"/>
        <v>ALMANE CIA. LTDA.CREMA</v>
      </c>
      <c r="F184" s="28">
        <v>1526</v>
      </c>
      <c r="G184" s="28">
        <v>1526</v>
      </c>
      <c r="H184" s="28">
        <v>1526</v>
      </c>
      <c r="I184" s="34">
        <f t="shared" si="37"/>
        <v>4578</v>
      </c>
      <c r="J184" s="29">
        <v>3.5000000000000003E-2</v>
      </c>
      <c r="K184" s="30">
        <f t="shared" si="33"/>
        <v>160.23000000000002</v>
      </c>
      <c r="L184" s="31">
        <f t="shared" si="34"/>
        <v>176.25300000000001</v>
      </c>
      <c r="M184" s="32">
        <v>0</v>
      </c>
      <c r="N184" s="32">
        <v>1938.3888000000004</v>
      </c>
      <c r="O184" s="32">
        <v>2974.1760000000004</v>
      </c>
      <c r="P184" s="81">
        <v>0</v>
      </c>
      <c r="Q184" s="10">
        <f t="shared" si="29"/>
        <v>4912.564800000001</v>
      </c>
      <c r="R184" s="33">
        <f t="shared" si="30"/>
        <v>1.0730809960681522</v>
      </c>
      <c r="S184" s="33" t="str">
        <f t="shared" si="31"/>
        <v>GANA</v>
      </c>
      <c r="T184" s="33" t="str">
        <f>VLOOKUP(B184,'CUOTA TOTAL'!$B$4:$F$72,5,FALSE)</f>
        <v>GANA</v>
      </c>
      <c r="U184" s="31">
        <f t="shared" si="27"/>
        <v>171.93976800000004</v>
      </c>
      <c r="V184" s="31">
        <f t="shared" si="28"/>
        <v>171.93976800000004</v>
      </c>
    </row>
    <row r="185" spans="1:22" ht="14.45">
      <c r="A185" s="7" t="s">
        <v>49</v>
      </c>
      <c r="B185" s="57" t="s">
        <v>50</v>
      </c>
      <c r="C185" s="38" t="s">
        <v>135</v>
      </c>
      <c r="D185" s="36" t="s">
        <v>194</v>
      </c>
      <c r="E185" s="8" t="str">
        <f t="shared" si="24"/>
        <v>ALMANE CIA. LTDA.LIQUIDO</v>
      </c>
      <c r="F185" s="28">
        <v>547</v>
      </c>
      <c r="G185" s="28">
        <v>547</v>
      </c>
      <c r="H185" s="28">
        <v>547</v>
      </c>
      <c r="I185" s="34">
        <f t="shared" si="37"/>
        <v>1641</v>
      </c>
      <c r="J185" s="29">
        <v>1.4999999999999999E-2</v>
      </c>
      <c r="K185" s="30">
        <f t="shared" si="33"/>
        <v>24.614999999999998</v>
      </c>
      <c r="L185" s="31">
        <f t="shared" si="34"/>
        <v>27.076499999999999</v>
      </c>
      <c r="M185" s="32">
        <v>0</v>
      </c>
      <c r="N185" s="32">
        <v>0</v>
      </c>
      <c r="O185" s="32">
        <v>389.66399999999999</v>
      </c>
      <c r="P185" s="81">
        <v>0</v>
      </c>
      <c r="Q185" s="10">
        <f t="shared" si="29"/>
        <v>389.66399999999999</v>
      </c>
      <c r="R185" s="33">
        <f t="shared" si="30"/>
        <v>0.23745521023765995</v>
      </c>
      <c r="S185" s="33" t="str">
        <f t="shared" si="31"/>
        <v>NO GANA</v>
      </c>
      <c r="T185" s="33" t="str">
        <f>VLOOKUP(B185,'CUOTA TOTAL'!$B$4:$F$72,5,FALSE)</f>
        <v>GANA</v>
      </c>
      <c r="U185" s="31">
        <f t="shared" si="27"/>
        <v>0</v>
      </c>
      <c r="V185" s="31">
        <f t="shared" si="28"/>
        <v>0</v>
      </c>
    </row>
    <row r="186" spans="1:22" ht="14.45">
      <c r="A186" s="7" t="s">
        <v>49</v>
      </c>
      <c r="B186" s="57" t="s">
        <v>50</v>
      </c>
      <c r="C186" s="38" t="s">
        <v>135</v>
      </c>
      <c r="D186" s="36" t="s">
        <v>196</v>
      </c>
      <c r="E186" s="8" t="str">
        <f t="shared" si="24"/>
        <v>ALMANE CIA. LTDA.POLVO DETERGENTE</v>
      </c>
      <c r="F186" s="28">
        <v>2217</v>
      </c>
      <c r="G186" s="28">
        <v>2217</v>
      </c>
      <c r="H186" s="28">
        <v>2217</v>
      </c>
      <c r="I186" s="34">
        <f t="shared" si="37"/>
        <v>6651</v>
      </c>
      <c r="J186" s="37">
        <v>4.4999999999999998E-2</v>
      </c>
      <c r="K186" s="30">
        <f t="shared" si="33"/>
        <v>299.29500000000002</v>
      </c>
      <c r="L186" s="31">
        <f t="shared" si="34"/>
        <v>329.22449999999998</v>
      </c>
      <c r="M186" s="32">
        <v>0</v>
      </c>
      <c r="N186" s="32">
        <v>2590.1724000000004</v>
      </c>
      <c r="O186" s="32">
        <v>4215.0736000000006</v>
      </c>
      <c r="P186" s="81">
        <v>0</v>
      </c>
      <c r="Q186" s="10">
        <f t="shared" si="29"/>
        <v>6805.246000000001</v>
      </c>
      <c r="R186" s="33">
        <f t="shared" si="30"/>
        <v>1.0231913997895055</v>
      </c>
      <c r="S186" s="33" t="str">
        <f t="shared" si="31"/>
        <v>GANA</v>
      </c>
      <c r="T186" s="33" t="str">
        <f>VLOOKUP(B186,'CUOTA TOTAL'!$B$4:$F$72,5,FALSE)</f>
        <v>GANA</v>
      </c>
      <c r="U186" s="31">
        <f t="shared" si="27"/>
        <v>306.23607000000004</v>
      </c>
      <c r="V186" s="31">
        <f t="shared" si="28"/>
        <v>306.23607000000004</v>
      </c>
    </row>
    <row r="187" spans="1:22" ht="14.45">
      <c r="A187" s="7" t="s">
        <v>49</v>
      </c>
      <c r="B187" s="57" t="s">
        <v>50</v>
      </c>
      <c r="C187" s="38" t="s">
        <v>135</v>
      </c>
      <c r="D187" s="36" t="s">
        <v>197</v>
      </c>
      <c r="E187" s="8" t="str">
        <f t="shared" si="24"/>
        <v>ALMANE CIA. LTDA.OTRAS CATEGORIAS</v>
      </c>
      <c r="F187" s="28">
        <v>61</v>
      </c>
      <c r="G187" s="28">
        <v>61</v>
      </c>
      <c r="H187" s="28">
        <v>61</v>
      </c>
      <c r="I187" s="34">
        <f t="shared" si="37"/>
        <v>183</v>
      </c>
      <c r="J187" s="69"/>
      <c r="K187" s="30">
        <f t="shared" si="33"/>
        <v>0</v>
      </c>
      <c r="L187" s="31">
        <f t="shared" si="34"/>
        <v>0</v>
      </c>
      <c r="M187" s="32">
        <v>0</v>
      </c>
      <c r="N187" s="32">
        <v>0</v>
      </c>
      <c r="O187" s="32">
        <v>0</v>
      </c>
      <c r="P187" s="81">
        <v>0</v>
      </c>
      <c r="Q187" s="10">
        <f t="shared" si="29"/>
        <v>0</v>
      </c>
      <c r="R187" s="33">
        <f t="shared" si="30"/>
        <v>0</v>
      </c>
      <c r="S187" s="33" t="str">
        <f t="shared" si="31"/>
        <v>NO GANA</v>
      </c>
      <c r="T187" s="33" t="str">
        <f>VLOOKUP(B187,'CUOTA TOTAL'!$B$4:$F$72,5,FALSE)</f>
        <v>GANA</v>
      </c>
      <c r="U187" s="31">
        <f t="shared" si="27"/>
        <v>0</v>
      </c>
      <c r="V187" s="31">
        <f t="shared" si="28"/>
        <v>0</v>
      </c>
    </row>
    <row r="188" spans="1:22" ht="14.45">
      <c r="A188" s="7" t="s">
        <v>49</v>
      </c>
      <c r="B188" s="57" t="s">
        <v>60</v>
      </c>
      <c r="C188" s="38" t="s">
        <v>135</v>
      </c>
      <c r="D188" s="36" t="s">
        <v>165</v>
      </c>
      <c r="E188" s="8" t="str">
        <f t="shared" si="24"/>
        <v>MOVACAZA S.A.SBARRA</v>
      </c>
      <c r="F188" s="39">
        <v>1015</v>
      </c>
      <c r="G188" s="39">
        <v>1015</v>
      </c>
      <c r="H188" s="39">
        <v>1015</v>
      </c>
      <c r="I188" s="34">
        <f t="shared" si="37"/>
        <v>3045</v>
      </c>
      <c r="J188" s="29">
        <v>1.4999999999999999E-2</v>
      </c>
      <c r="K188" s="30">
        <f t="shared" si="33"/>
        <v>45.674999999999997</v>
      </c>
      <c r="L188" s="31">
        <f t="shared" si="34"/>
        <v>50.242500000000007</v>
      </c>
      <c r="M188" s="32">
        <v>749.44799999999998</v>
      </c>
      <c r="N188" s="32">
        <v>0</v>
      </c>
      <c r="O188" s="32">
        <v>2404.442</v>
      </c>
      <c r="P188" s="81">
        <v>0</v>
      </c>
      <c r="Q188" s="10">
        <f t="shared" si="29"/>
        <v>3153.89</v>
      </c>
      <c r="R188" s="33">
        <f t="shared" si="30"/>
        <v>1.03576026272578</v>
      </c>
      <c r="S188" s="33" t="str">
        <f t="shared" si="31"/>
        <v>GANA</v>
      </c>
      <c r="T188" s="33" t="str">
        <f>VLOOKUP(B188,'CUOTA TOTAL'!$B$4:$F$72,5,FALSE)</f>
        <v>GANA</v>
      </c>
      <c r="U188" s="31">
        <f t="shared" si="27"/>
        <v>47.308349999999997</v>
      </c>
      <c r="V188" s="31">
        <f t="shared" si="28"/>
        <v>47.308349999999997</v>
      </c>
    </row>
    <row r="189" spans="1:22" ht="14.45">
      <c r="A189" s="7" t="s">
        <v>49</v>
      </c>
      <c r="B189" s="57" t="s">
        <v>60</v>
      </c>
      <c r="C189" s="38" t="s">
        <v>135</v>
      </c>
      <c r="D189" s="36" t="s">
        <v>193</v>
      </c>
      <c r="E189" s="8" t="str">
        <f t="shared" si="24"/>
        <v>MOVACAZA S.A.SCREMA</v>
      </c>
      <c r="F189" s="39">
        <v>333</v>
      </c>
      <c r="G189" s="39">
        <v>333</v>
      </c>
      <c r="H189" s="39">
        <v>333</v>
      </c>
      <c r="I189" s="34">
        <f t="shared" si="37"/>
        <v>999</v>
      </c>
      <c r="J189" s="29">
        <v>3.5000000000000003E-2</v>
      </c>
      <c r="K189" s="30">
        <f t="shared" si="33"/>
        <v>34.965000000000003</v>
      </c>
      <c r="L189" s="31">
        <f t="shared" si="34"/>
        <v>38.461500000000008</v>
      </c>
      <c r="M189" s="32">
        <v>284.35199999999998</v>
      </c>
      <c r="N189" s="32">
        <v>0</v>
      </c>
      <c r="O189" s="32">
        <v>919.20000000000016</v>
      </c>
      <c r="P189" s="81">
        <v>0</v>
      </c>
      <c r="Q189" s="10">
        <f t="shared" si="29"/>
        <v>1203.5520000000001</v>
      </c>
      <c r="R189" s="33">
        <f t="shared" si="30"/>
        <v>1.204756756756757</v>
      </c>
      <c r="S189" s="33" t="str">
        <f t="shared" si="31"/>
        <v>GANA</v>
      </c>
      <c r="T189" s="33" t="str">
        <f>VLOOKUP(B189,'CUOTA TOTAL'!$B$4:$F$72,5,FALSE)</f>
        <v>GANA</v>
      </c>
      <c r="U189" s="31">
        <f t="shared" si="27"/>
        <v>42.124320000000012</v>
      </c>
      <c r="V189" s="31">
        <f t="shared" si="28"/>
        <v>38.461500000000008</v>
      </c>
    </row>
    <row r="190" spans="1:22" ht="14.45">
      <c r="A190" s="7" t="s">
        <v>49</v>
      </c>
      <c r="B190" s="57" t="s">
        <v>60</v>
      </c>
      <c r="C190" s="38" t="s">
        <v>135</v>
      </c>
      <c r="D190" s="36" t="s">
        <v>194</v>
      </c>
      <c r="E190" s="8" t="str">
        <f t="shared" si="24"/>
        <v>MOVACAZA S.A.SLIQUIDO</v>
      </c>
      <c r="F190" s="39">
        <v>511</v>
      </c>
      <c r="G190" s="39">
        <v>511</v>
      </c>
      <c r="H190" s="39">
        <v>511</v>
      </c>
      <c r="I190" s="34">
        <f t="shared" si="37"/>
        <v>1533</v>
      </c>
      <c r="J190" s="29">
        <v>1.4999999999999999E-2</v>
      </c>
      <c r="K190" s="30">
        <f t="shared" si="33"/>
        <v>22.994999999999997</v>
      </c>
      <c r="L190" s="31">
        <f t="shared" si="34"/>
        <v>25.294500000000003</v>
      </c>
      <c r="M190" s="32">
        <v>175.95839999999995</v>
      </c>
      <c r="N190" s="32">
        <v>0</v>
      </c>
      <c r="O190" s="32">
        <v>291.05920000000003</v>
      </c>
      <c r="P190" s="81">
        <v>0</v>
      </c>
      <c r="Q190" s="10">
        <f t="shared" si="29"/>
        <v>467.01760000000002</v>
      </c>
      <c r="R190" s="33">
        <f t="shared" si="30"/>
        <v>0.30464292237442925</v>
      </c>
      <c r="S190" s="33" t="str">
        <f t="shared" si="31"/>
        <v>NO GANA</v>
      </c>
      <c r="T190" s="33" t="str">
        <f>VLOOKUP(B190,'CUOTA TOTAL'!$B$4:$F$72,5,FALSE)</f>
        <v>GANA</v>
      </c>
      <c r="U190" s="31">
        <f t="shared" si="27"/>
        <v>0</v>
      </c>
      <c r="V190" s="31">
        <f t="shared" ref="V190:V248" si="38">IF(U190&lt;=L190,U190,L190)</f>
        <v>0</v>
      </c>
    </row>
    <row r="191" spans="1:22" ht="14.45">
      <c r="A191" s="7" t="s">
        <v>49</v>
      </c>
      <c r="B191" s="57" t="s">
        <v>60</v>
      </c>
      <c r="C191" s="38" t="s">
        <v>135</v>
      </c>
      <c r="D191" s="36" t="s">
        <v>196</v>
      </c>
      <c r="E191" s="8" t="str">
        <f t="shared" si="24"/>
        <v>MOVACAZA S.A.SPOLVO DETERGENTE</v>
      </c>
      <c r="F191" s="39">
        <v>2788</v>
      </c>
      <c r="G191" s="39">
        <v>2788</v>
      </c>
      <c r="H191" s="39">
        <v>2788</v>
      </c>
      <c r="I191" s="34">
        <f t="shared" si="37"/>
        <v>8364</v>
      </c>
      <c r="J191" s="29">
        <v>4.4999999999999998E-2</v>
      </c>
      <c r="K191" s="30">
        <f t="shared" si="33"/>
        <v>376.38</v>
      </c>
      <c r="L191" s="31">
        <f t="shared" si="34"/>
        <v>414.01800000000003</v>
      </c>
      <c r="M191" s="32">
        <v>8161.1712000000007</v>
      </c>
      <c r="N191" s="32">
        <v>0</v>
      </c>
      <c r="O191" s="32">
        <v>2048.2631999999999</v>
      </c>
      <c r="P191" s="81">
        <v>0</v>
      </c>
      <c r="Q191" s="10">
        <f t="shared" si="29"/>
        <v>10209.4344</v>
      </c>
      <c r="R191" s="33">
        <f t="shared" si="30"/>
        <v>1.2206401721664275</v>
      </c>
      <c r="S191" s="33" t="str">
        <f t="shared" si="31"/>
        <v>GANA</v>
      </c>
      <c r="T191" s="33" t="str">
        <f>VLOOKUP(B191,'CUOTA TOTAL'!$B$4:$F$72,5,FALSE)</f>
        <v>GANA</v>
      </c>
      <c r="U191" s="31">
        <f t="shared" si="27"/>
        <v>459.42454800000002</v>
      </c>
      <c r="V191" s="31">
        <f t="shared" si="38"/>
        <v>414.01800000000003</v>
      </c>
    </row>
    <row r="192" spans="1:22" ht="14.45">
      <c r="A192" s="7" t="s">
        <v>49</v>
      </c>
      <c r="B192" s="57" t="s">
        <v>60</v>
      </c>
      <c r="C192" s="38" t="s">
        <v>135</v>
      </c>
      <c r="D192" s="36" t="s">
        <v>197</v>
      </c>
      <c r="E192" s="8" t="str">
        <f t="shared" si="24"/>
        <v>MOVACAZA S.A.SOTRAS CATEGORIAS</v>
      </c>
      <c r="F192" s="39">
        <v>61</v>
      </c>
      <c r="G192" s="39">
        <v>61</v>
      </c>
      <c r="H192" s="39">
        <v>61</v>
      </c>
      <c r="I192" s="34">
        <f t="shared" si="37"/>
        <v>183</v>
      </c>
      <c r="J192" s="69"/>
      <c r="K192" s="30">
        <f t="shared" si="33"/>
        <v>0</v>
      </c>
      <c r="L192" s="31">
        <f t="shared" si="34"/>
        <v>0</v>
      </c>
      <c r="M192" s="32">
        <v>0</v>
      </c>
      <c r="N192" s="32">
        <v>0</v>
      </c>
      <c r="O192" s="32">
        <v>0</v>
      </c>
      <c r="P192" s="81">
        <v>0</v>
      </c>
      <c r="Q192" s="10">
        <f t="shared" si="29"/>
        <v>0</v>
      </c>
      <c r="R192" s="33">
        <f t="shared" si="30"/>
        <v>0</v>
      </c>
      <c r="S192" s="33" t="str">
        <f t="shared" ref="S192:S251" si="39">IF(R192&gt;=80%,"GANA","NO GANA")</f>
        <v>NO GANA</v>
      </c>
      <c r="T192" s="33" t="str">
        <f>VLOOKUP(B192,'CUOTA TOTAL'!$B$4:$F$72,5,FALSE)</f>
        <v>GANA</v>
      </c>
      <c r="U192" s="31">
        <f t="shared" si="27"/>
        <v>0</v>
      </c>
      <c r="V192" s="31">
        <f t="shared" si="38"/>
        <v>0</v>
      </c>
    </row>
    <row r="193" spans="1:25" ht="14.45">
      <c r="A193" s="7" t="s">
        <v>49</v>
      </c>
      <c r="B193" s="51" t="s">
        <v>55</v>
      </c>
      <c r="C193" s="9" t="s">
        <v>163</v>
      </c>
      <c r="D193" s="8" t="s">
        <v>165</v>
      </c>
      <c r="E193" s="8" t="str">
        <f t="shared" si="24"/>
        <v>CONSTRUWITHE S.A.BARRA</v>
      </c>
      <c r="F193" s="28">
        <v>1718</v>
      </c>
      <c r="G193" s="28">
        <v>1718</v>
      </c>
      <c r="H193" s="28">
        <v>1718</v>
      </c>
      <c r="I193" s="34">
        <f t="shared" si="37"/>
        <v>5154</v>
      </c>
      <c r="J193" s="29">
        <v>1.4999999999999999E-2</v>
      </c>
      <c r="K193" s="30">
        <f t="shared" si="33"/>
        <v>77.31</v>
      </c>
      <c r="L193" s="31">
        <f t="shared" si="34"/>
        <v>85.041000000000011</v>
      </c>
      <c r="M193" s="32">
        <v>1245.2832000000001</v>
      </c>
      <c r="N193" s="32">
        <v>2251.7664</v>
      </c>
      <c r="O193" s="32">
        <v>1419.2496000000001</v>
      </c>
      <c r="P193" s="81">
        <v>0</v>
      </c>
      <c r="Q193" s="10">
        <f t="shared" si="29"/>
        <v>4916.2992000000004</v>
      </c>
      <c r="R193" s="33">
        <f t="shared" si="30"/>
        <v>0.95388032596041916</v>
      </c>
      <c r="S193" s="33" t="str">
        <f t="shared" si="39"/>
        <v>GANA</v>
      </c>
      <c r="T193" s="33" t="str">
        <f>VLOOKUP(B193,'CUOTA TOTAL'!$B$4:$F$72,5,FALSE)</f>
        <v>NO GANA</v>
      </c>
      <c r="U193" s="31">
        <f t="shared" si="27"/>
        <v>0</v>
      </c>
      <c r="V193" s="31">
        <f t="shared" si="38"/>
        <v>0</v>
      </c>
    </row>
    <row r="194" spans="1:25" ht="14.45">
      <c r="A194" s="7" t="s">
        <v>49</v>
      </c>
      <c r="B194" s="51" t="s">
        <v>55</v>
      </c>
      <c r="C194" s="9" t="s">
        <v>163</v>
      </c>
      <c r="D194" s="8" t="s">
        <v>193</v>
      </c>
      <c r="E194" s="8" t="str">
        <f t="shared" si="24"/>
        <v>CONSTRUWITHE S.A.CREMA</v>
      </c>
      <c r="F194" s="28">
        <v>1285</v>
      </c>
      <c r="G194" s="28">
        <v>1285</v>
      </c>
      <c r="H194" s="28">
        <v>1285</v>
      </c>
      <c r="I194" s="34">
        <f t="shared" si="37"/>
        <v>3855</v>
      </c>
      <c r="J194" s="29">
        <v>1.4999999999999999E-2</v>
      </c>
      <c r="K194" s="30">
        <f t="shared" si="33"/>
        <v>57.824999999999996</v>
      </c>
      <c r="L194" s="31">
        <f t="shared" si="34"/>
        <v>63.607499999999995</v>
      </c>
      <c r="M194" s="32">
        <v>1070.0160000000001</v>
      </c>
      <c r="N194" s="32">
        <v>1093.8119999999999</v>
      </c>
      <c r="O194" s="32">
        <v>477.85200000000003</v>
      </c>
      <c r="P194" s="81">
        <v>0</v>
      </c>
      <c r="Q194" s="10">
        <f t="shared" si="29"/>
        <v>2641.68</v>
      </c>
      <c r="R194" s="33">
        <f t="shared" si="30"/>
        <v>0.68526070038910503</v>
      </c>
      <c r="S194" s="33" t="str">
        <f t="shared" si="39"/>
        <v>NO GANA</v>
      </c>
      <c r="T194" s="33" t="str">
        <f>VLOOKUP(B194,'CUOTA TOTAL'!$B$4:$F$72,5,FALSE)</f>
        <v>NO GANA</v>
      </c>
      <c r="U194" s="31">
        <f t="shared" si="27"/>
        <v>0</v>
      </c>
      <c r="V194" s="31">
        <f t="shared" si="38"/>
        <v>0</v>
      </c>
    </row>
    <row r="195" spans="1:25" ht="14.45">
      <c r="A195" s="7" t="s">
        <v>49</v>
      </c>
      <c r="B195" s="51" t="s">
        <v>55</v>
      </c>
      <c r="C195" s="9" t="s">
        <v>163</v>
      </c>
      <c r="D195" s="8" t="s">
        <v>194</v>
      </c>
      <c r="E195" s="8" t="str">
        <f t="shared" ref="E195:E258" si="40">_xlfn.CONCAT(B195,D195)</f>
        <v>CONSTRUWITHE S.A.LIQUIDO</v>
      </c>
      <c r="F195" s="28">
        <v>500</v>
      </c>
      <c r="G195" s="28">
        <v>500</v>
      </c>
      <c r="H195" s="28">
        <v>500</v>
      </c>
      <c r="I195" s="34">
        <f t="shared" si="37"/>
        <v>1500</v>
      </c>
      <c r="J195" s="29">
        <v>1.4999999999999999E-2</v>
      </c>
      <c r="K195" s="30">
        <f t="shared" si="33"/>
        <v>22.5</v>
      </c>
      <c r="L195" s="31">
        <f t="shared" si="34"/>
        <v>24.750000000000004</v>
      </c>
      <c r="M195" s="32">
        <v>0</v>
      </c>
      <c r="N195" s="32">
        <v>0</v>
      </c>
      <c r="O195" s="32">
        <v>0</v>
      </c>
      <c r="P195" s="81">
        <v>0</v>
      </c>
      <c r="Q195" s="10">
        <f t="shared" ref="Q195:Q196" si="41">SUM(M195:O195)</f>
        <v>0</v>
      </c>
      <c r="R195" s="33">
        <f t="shared" si="30"/>
        <v>0</v>
      </c>
      <c r="S195" s="33" t="str">
        <f t="shared" si="39"/>
        <v>NO GANA</v>
      </c>
      <c r="T195" s="33" t="str">
        <f>VLOOKUP(B195,'CUOTA TOTAL'!$B$4:$F$72,5,FALSE)</f>
        <v>NO GANA</v>
      </c>
      <c r="U195" s="31">
        <f t="shared" ref="U195:U258" si="42">IF(AND(T195="GANA",S195="GANA"),Q195*J195,0)</f>
        <v>0</v>
      </c>
      <c r="V195" s="31">
        <f t="shared" si="38"/>
        <v>0</v>
      </c>
    </row>
    <row r="196" spans="1:25" ht="14.45">
      <c r="A196" s="7" t="s">
        <v>49</v>
      </c>
      <c r="B196" s="51" t="s">
        <v>55</v>
      </c>
      <c r="C196" s="9" t="s">
        <v>163</v>
      </c>
      <c r="D196" s="8" t="s">
        <v>196</v>
      </c>
      <c r="E196" s="8" t="str">
        <f t="shared" si="40"/>
        <v>CONSTRUWITHE S.A.POLVO DETERGENTE</v>
      </c>
      <c r="F196" s="28">
        <v>3148</v>
      </c>
      <c r="G196" s="28">
        <v>3148</v>
      </c>
      <c r="H196" s="28">
        <v>3148</v>
      </c>
      <c r="I196" s="34">
        <f t="shared" si="37"/>
        <v>9444</v>
      </c>
      <c r="J196" s="29">
        <v>1.4999999999999999E-2</v>
      </c>
      <c r="K196" s="30">
        <f t="shared" si="33"/>
        <v>141.66</v>
      </c>
      <c r="L196" s="31">
        <f t="shared" si="34"/>
        <v>155.82600000000002</v>
      </c>
      <c r="M196" s="32">
        <v>2711.2968000000001</v>
      </c>
      <c r="N196" s="32">
        <v>2362.1543999999999</v>
      </c>
      <c r="O196" s="32">
        <v>3139.7503999999999</v>
      </c>
      <c r="P196" s="81">
        <v>0</v>
      </c>
      <c r="Q196" s="10">
        <f t="shared" si="41"/>
        <v>8213.2016000000003</v>
      </c>
      <c r="R196" s="33">
        <f t="shared" ref="R196:R259" si="43">IFERROR(+Q196/I196,0)</f>
        <v>0.86967403642524355</v>
      </c>
      <c r="S196" s="33" t="str">
        <f t="shared" si="39"/>
        <v>GANA</v>
      </c>
      <c r="T196" s="33" t="str">
        <f>VLOOKUP(B196,'CUOTA TOTAL'!$B$4:$F$72,5,FALSE)</f>
        <v>NO GANA</v>
      </c>
      <c r="U196" s="31">
        <f t="shared" si="42"/>
        <v>0</v>
      </c>
      <c r="V196" s="31">
        <f t="shared" si="38"/>
        <v>0</v>
      </c>
    </row>
    <row r="197" spans="1:25" ht="14.45">
      <c r="A197" s="7" t="s">
        <v>49</v>
      </c>
      <c r="B197" s="51" t="s">
        <v>55</v>
      </c>
      <c r="C197" s="9" t="s">
        <v>163</v>
      </c>
      <c r="D197" s="8" t="s">
        <v>197</v>
      </c>
      <c r="E197" s="8" t="str">
        <f t="shared" si="40"/>
        <v>CONSTRUWITHE S.A.OTRAS CATEGORIAS</v>
      </c>
      <c r="F197" s="28">
        <v>60</v>
      </c>
      <c r="G197" s="28">
        <v>60</v>
      </c>
      <c r="H197" s="28">
        <v>60</v>
      </c>
      <c r="I197" s="34">
        <f t="shared" si="37"/>
        <v>180</v>
      </c>
      <c r="J197" s="69">
        <v>1.4999999999999999E-2</v>
      </c>
      <c r="K197" s="30">
        <f t="shared" si="33"/>
        <v>2.6999999999999997</v>
      </c>
      <c r="L197" s="31">
        <f t="shared" si="34"/>
        <v>2.97</v>
      </c>
      <c r="M197" s="32">
        <v>0</v>
      </c>
      <c r="N197" s="32">
        <v>0</v>
      </c>
      <c r="O197" s="32">
        <v>0</v>
      </c>
      <c r="P197" s="81">
        <v>0</v>
      </c>
      <c r="Q197" s="10">
        <f t="shared" ref="Q197:Q258" si="44">SUM(M197:O197)</f>
        <v>0</v>
      </c>
      <c r="R197" s="33">
        <f t="shared" si="43"/>
        <v>0</v>
      </c>
      <c r="S197" s="33" t="str">
        <f t="shared" si="39"/>
        <v>NO GANA</v>
      </c>
      <c r="T197" s="33" t="str">
        <f>VLOOKUP(B197,'CUOTA TOTAL'!$B$4:$F$72,5,FALSE)</f>
        <v>NO GANA</v>
      </c>
      <c r="U197" s="31">
        <f t="shared" si="42"/>
        <v>0</v>
      </c>
      <c r="V197" s="31">
        <f t="shared" si="38"/>
        <v>0</v>
      </c>
    </row>
    <row r="198" spans="1:25" ht="14.45">
      <c r="A198" s="7" t="s">
        <v>5</v>
      </c>
      <c r="B198" s="51" t="s">
        <v>13</v>
      </c>
      <c r="C198" s="9" t="s">
        <v>135</v>
      </c>
      <c r="D198" s="8" t="s">
        <v>165</v>
      </c>
      <c r="E198" s="8" t="str">
        <f t="shared" si="40"/>
        <v>COMERCIALIZADORA BASURTO &amp; SACON SUPERUNO S.A.BARRA</v>
      </c>
      <c r="F198" s="28">
        <v>3000</v>
      </c>
      <c r="G198" s="28">
        <v>3000</v>
      </c>
      <c r="H198" s="28">
        <v>3000</v>
      </c>
      <c r="I198" s="34">
        <f t="shared" ref="I198:I270" si="45">+F198+G198+H198</f>
        <v>9000</v>
      </c>
      <c r="J198" s="29">
        <v>1.4999999999999999E-2</v>
      </c>
      <c r="K198" s="30">
        <f t="shared" ref="K198:K256" si="46">+I198*J198</f>
        <v>135</v>
      </c>
      <c r="L198" s="31">
        <f t="shared" ref="L198:L256" si="47">(I198*1.1)*J198</f>
        <v>148.5</v>
      </c>
      <c r="M198" s="32">
        <v>6117.5036</v>
      </c>
      <c r="N198" s="32">
        <v>769.8</v>
      </c>
      <c r="O198" s="32">
        <v>0</v>
      </c>
      <c r="P198" s="85">
        <v>17425</v>
      </c>
      <c r="Q198" s="10">
        <f t="shared" si="44"/>
        <v>6887.3036000000002</v>
      </c>
      <c r="R198" s="33">
        <f t="shared" si="43"/>
        <v>0.76525595555555559</v>
      </c>
      <c r="S198" s="33" t="str">
        <f t="shared" si="39"/>
        <v>NO GANA</v>
      </c>
      <c r="T198" s="33" t="str">
        <f>VLOOKUP(B198,'CUOTA TOTAL'!$B$4:$F$72,5,FALSE)</f>
        <v>NO GANA</v>
      </c>
      <c r="U198" s="31">
        <f t="shared" si="42"/>
        <v>0</v>
      </c>
      <c r="V198" s="31">
        <f t="shared" si="38"/>
        <v>0</v>
      </c>
      <c r="Y198" t="s">
        <v>200</v>
      </c>
    </row>
    <row r="199" spans="1:25" ht="14.45">
      <c r="A199" s="7" t="s">
        <v>5</v>
      </c>
      <c r="B199" s="51" t="s">
        <v>13</v>
      </c>
      <c r="C199" s="9" t="s">
        <v>135</v>
      </c>
      <c r="D199" s="8" t="s">
        <v>193</v>
      </c>
      <c r="E199" s="8" t="str">
        <f t="shared" si="40"/>
        <v>COMERCIALIZADORA BASURTO &amp; SACON SUPERUNO S.A.CREMA</v>
      </c>
      <c r="F199" s="28">
        <v>3900</v>
      </c>
      <c r="G199" s="28">
        <v>3900</v>
      </c>
      <c r="H199" s="28">
        <v>3900</v>
      </c>
      <c r="I199" s="34">
        <f t="shared" si="45"/>
        <v>11700</v>
      </c>
      <c r="J199" s="29">
        <v>3.5000000000000003E-2</v>
      </c>
      <c r="K199" s="30">
        <f t="shared" si="46"/>
        <v>409.50000000000006</v>
      </c>
      <c r="L199" s="31">
        <f t="shared" si="47"/>
        <v>450.4500000000001</v>
      </c>
      <c r="M199" s="32">
        <v>6796.2108000000017</v>
      </c>
      <c r="N199" s="32">
        <v>4408.6224000000011</v>
      </c>
      <c r="O199" s="32">
        <v>0</v>
      </c>
      <c r="P199" s="85">
        <v>17425</v>
      </c>
      <c r="Q199" s="10">
        <f t="shared" si="44"/>
        <v>11204.833200000003</v>
      </c>
      <c r="R199" s="33">
        <f t="shared" si="43"/>
        <v>0.95767805128205152</v>
      </c>
      <c r="S199" s="33" t="str">
        <f t="shared" si="39"/>
        <v>GANA</v>
      </c>
      <c r="T199" s="33" t="str">
        <f>VLOOKUP(B199,'CUOTA TOTAL'!$B$4:$F$72,5,FALSE)</f>
        <v>NO GANA</v>
      </c>
      <c r="U199" s="31">
        <f t="shared" si="42"/>
        <v>0</v>
      </c>
      <c r="V199" s="31">
        <f t="shared" si="38"/>
        <v>0</v>
      </c>
      <c r="Y199" t="s">
        <v>200</v>
      </c>
    </row>
    <row r="200" spans="1:25" ht="14.45">
      <c r="A200" s="7" t="s">
        <v>5</v>
      </c>
      <c r="B200" s="51" t="s">
        <v>13</v>
      </c>
      <c r="C200" s="9" t="s">
        <v>135</v>
      </c>
      <c r="D200" s="8" t="s">
        <v>194</v>
      </c>
      <c r="E200" s="8" t="str">
        <f t="shared" si="40"/>
        <v>COMERCIALIZADORA BASURTO &amp; SACON SUPERUNO S.A.LIQUIDO</v>
      </c>
      <c r="F200" s="28">
        <v>400</v>
      </c>
      <c r="G200" s="28">
        <v>400</v>
      </c>
      <c r="H200" s="28">
        <v>400</v>
      </c>
      <c r="I200" s="34">
        <f t="shared" si="45"/>
        <v>1200</v>
      </c>
      <c r="J200" s="29">
        <v>1.4999999999999999E-2</v>
      </c>
      <c r="K200" s="30">
        <f t="shared" si="46"/>
        <v>18</v>
      </c>
      <c r="L200" s="31">
        <f t="shared" si="47"/>
        <v>19.8</v>
      </c>
      <c r="M200" s="32">
        <v>389.66399999999999</v>
      </c>
      <c r="N200" s="32">
        <v>1483.0428000000002</v>
      </c>
      <c r="O200" s="32">
        <v>0</v>
      </c>
      <c r="P200" s="85">
        <v>17425</v>
      </c>
      <c r="Q200" s="10">
        <f t="shared" si="44"/>
        <v>1872.7068000000002</v>
      </c>
      <c r="R200" s="33">
        <f t="shared" si="43"/>
        <v>1.5605890000000002</v>
      </c>
      <c r="S200" s="33" t="str">
        <f t="shared" si="39"/>
        <v>GANA</v>
      </c>
      <c r="T200" s="33" t="str">
        <f>VLOOKUP(B200,'CUOTA TOTAL'!$B$4:$F$72,5,FALSE)</f>
        <v>NO GANA</v>
      </c>
      <c r="U200" s="31">
        <f t="shared" si="42"/>
        <v>0</v>
      </c>
      <c r="V200" s="31">
        <f t="shared" si="38"/>
        <v>0</v>
      </c>
      <c r="Y200" t="s">
        <v>200</v>
      </c>
    </row>
    <row r="201" spans="1:25" ht="15" customHeight="1">
      <c r="A201" s="7" t="s">
        <v>5</v>
      </c>
      <c r="B201" s="51" t="s">
        <v>13</v>
      </c>
      <c r="C201" s="9" t="s">
        <v>135</v>
      </c>
      <c r="D201" s="8" t="s">
        <v>196</v>
      </c>
      <c r="E201" s="8" t="str">
        <f t="shared" si="40"/>
        <v>COMERCIALIZADORA BASURTO &amp; SACON SUPERUNO S.A.POLVO DETERGENTE</v>
      </c>
      <c r="F201" s="28">
        <v>13500</v>
      </c>
      <c r="G201" s="28">
        <v>13500</v>
      </c>
      <c r="H201" s="28">
        <v>13500</v>
      </c>
      <c r="I201" s="34">
        <f t="shared" si="45"/>
        <v>40500</v>
      </c>
      <c r="J201" s="29">
        <v>4.4999999999999998E-2</v>
      </c>
      <c r="K201" s="30">
        <f t="shared" si="46"/>
        <v>1822.5</v>
      </c>
      <c r="L201" s="31">
        <f t="shared" si="47"/>
        <v>2004.75</v>
      </c>
      <c r="M201" s="32">
        <v>15050.160000000002</v>
      </c>
      <c r="N201" s="32">
        <v>17834.9512</v>
      </c>
      <c r="O201" s="32">
        <v>0</v>
      </c>
      <c r="P201" s="85">
        <v>17425</v>
      </c>
      <c r="Q201" s="10">
        <f t="shared" si="44"/>
        <v>32885.111199999999</v>
      </c>
      <c r="R201" s="33">
        <f t="shared" si="43"/>
        <v>0.81197805432098769</v>
      </c>
      <c r="S201" s="33" t="str">
        <f t="shared" si="39"/>
        <v>GANA</v>
      </c>
      <c r="T201" s="33" t="str">
        <f>VLOOKUP(B201,'CUOTA TOTAL'!$B$4:$F$72,5,FALSE)</f>
        <v>NO GANA</v>
      </c>
      <c r="U201" s="31">
        <f t="shared" si="42"/>
        <v>0</v>
      </c>
      <c r="V201" s="31">
        <f t="shared" si="38"/>
        <v>0</v>
      </c>
      <c r="Y201" t="s">
        <v>200</v>
      </c>
    </row>
    <row r="202" spans="1:25" ht="15" customHeight="1">
      <c r="A202" s="7" t="s">
        <v>5</v>
      </c>
      <c r="B202" s="51" t="s">
        <v>13</v>
      </c>
      <c r="C202" s="9" t="s">
        <v>135</v>
      </c>
      <c r="D202" s="8" t="s">
        <v>197</v>
      </c>
      <c r="E202" s="8" t="str">
        <f t="shared" si="40"/>
        <v>COMERCIALIZADORA BASURTO &amp; SACON SUPERUNO S.A.OTRAS CATEGORIAS</v>
      </c>
      <c r="F202" s="28">
        <v>10</v>
      </c>
      <c r="G202" s="28">
        <v>10</v>
      </c>
      <c r="H202" s="28">
        <v>10</v>
      </c>
      <c r="I202" s="34">
        <f t="shared" si="45"/>
        <v>30</v>
      </c>
      <c r="J202" s="29"/>
      <c r="K202" s="30">
        <f t="shared" si="46"/>
        <v>0</v>
      </c>
      <c r="L202" s="31">
        <f t="shared" si="47"/>
        <v>0</v>
      </c>
      <c r="M202" s="32">
        <v>23.507999999999999</v>
      </c>
      <c r="N202" s="32">
        <v>0</v>
      </c>
      <c r="O202" s="32">
        <v>0</v>
      </c>
      <c r="P202" s="85">
        <v>17425</v>
      </c>
      <c r="Q202" s="10">
        <f t="shared" si="44"/>
        <v>23.507999999999999</v>
      </c>
      <c r="R202" s="33">
        <f t="shared" si="43"/>
        <v>0.78359999999999996</v>
      </c>
      <c r="S202" s="33" t="str">
        <f t="shared" si="39"/>
        <v>NO GANA</v>
      </c>
      <c r="T202" s="33" t="str">
        <f>VLOOKUP(B202,'CUOTA TOTAL'!$B$4:$F$72,5,FALSE)</f>
        <v>NO GANA</v>
      </c>
      <c r="U202" s="31">
        <f t="shared" si="42"/>
        <v>0</v>
      </c>
      <c r="V202" s="31">
        <f t="shared" si="38"/>
        <v>0</v>
      </c>
      <c r="Y202" t="s">
        <v>200</v>
      </c>
    </row>
    <row r="203" spans="1:25" ht="15" customHeight="1">
      <c r="A203" s="7" t="s">
        <v>5</v>
      </c>
      <c r="B203" s="51" t="s">
        <v>12</v>
      </c>
      <c r="C203" s="9" t="s">
        <v>135</v>
      </c>
      <c r="D203" s="8" t="s">
        <v>165</v>
      </c>
      <c r="E203" s="8" t="str">
        <f t="shared" si="40"/>
        <v>COMERCIAL ROMERO REYNA COMROBARRA</v>
      </c>
      <c r="F203" s="28">
        <v>850</v>
      </c>
      <c r="G203" s="28">
        <v>850</v>
      </c>
      <c r="H203" s="28">
        <v>850</v>
      </c>
      <c r="I203" s="34">
        <f t="shared" si="45"/>
        <v>2550</v>
      </c>
      <c r="J203" s="29">
        <v>1.4999999999999999E-2</v>
      </c>
      <c r="K203" s="30">
        <f t="shared" si="46"/>
        <v>38.25</v>
      </c>
      <c r="L203" s="31">
        <f t="shared" si="47"/>
        <v>42.074999999999996</v>
      </c>
      <c r="M203" s="32">
        <v>0</v>
      </c>
      <c r="N203" s="32">
        <v>819.1271999999999</v>
      </c>
      <c r="O203" s="32">
        <v>0</v>
      </c>
      <c r="P203" s="81">
        <v>0</v>
      </c>
      <c r="Q203" s="10">
        <f t="shared" si="44"/>
        <v>819.1271999999999</v>
      </c>
      <c r="R203" s="33">
        <f t="shared" si="43"/>
        <v>0.32122635294117641</v>
      </c>
      <c r="S203" s="33" t="str">
        <f t="shared" si="39"/>
        <v>NO GANA</v>
      </c>
      <c r="T203" s="33" t="str">
        <f>VLOOKUP(B203,'CUOTA TOTAL'!$B$4:$F$72,5,FALSE)</f>
        <v>NO GANA</v>
      </c>
      <c r="U203" s="31">
        <f t="shared" si="42"/>
        <v>0</v>
      </c>
      <c r="V203" s="31">
        <f t="shared" si="38"/>
        <v>0</v>
      </c>
    </row>
    <row r="204" spans="1:25" ht="15" customHeight="1">
      <c r="A204" s="7" t="s">
        <v>5</v>
      </c>
      <c r="B204" s="51" t="s">
        <v>12</v>
      </c>
      <c r="C204" s="9" t="s">
        <v>135</v>
      </c>
      <c r="D204" s="8" t="s">
        <v>193</v>
      </c>
      <c r="E204" s="8" t="str">
        <f t="shared" si="40"/>
        <v>COMERCIAL ROMERO REYNA COMROCREMA</v>
      </c>
      <c r="F204" s="28">
        <v>1700</v>
      </c>
      <c r="G204" s="28">
        <v>1700</v>
      </c>
      <c r="H204" s="28">
        <v>1700</v>
      </c>
      <c r="I204" s="34">
        <f t="shared" si="45"/>
        <v>5100</v>
      </c>
      <c r="J204" s="29">
        <v>3.5000000000000003E-2</v>
      </c>
      <c r="K204" s="30">
        <f t="shared" si="46"/>
        <v>178.50000000000003</v>
      </c>
      <c r="L204" s="31">
        <f t="shared" si="47"/>
        <v>196.35000000000002</v>
      </c>
      <c r="M204" s="32">
        <v>0</v>
      </c>
      <c r="N204" s="32">
        <v>2124.7367999999997</v>
      </c>
      <c r="O204" s="32">
        <v>2085.6275999999998</v>
      </c>
      <c r="P204" s="81">
        <v>0</v>
      </c>
      <c r="Q204" s="10">
        <f t="shared" si="44"/>
        <v>4210.3643999999995</v>
      </c>
      <c r="R204" s="33">
        <f t="shared" si="43"/>
        <v>0.8255616470588234</v>
      </c>
      <c r="S204" s="33" t="str">
        <f t="shared" si="39"/>
        <v>GANA</v>
      </c>
      <c r="T204" s="33" t="str">
        <f>VLOOKUP(B204,'CUOTA TOTAL'!$B$4:$F$72,5,FALSE)</f>
        <v>NO GANA</v>
      </c>
      <c r="U204" s="31">
        <f t="shared" si="42"/>
        <v>0</v>
      </c>
      <c r="V204" s="31">
        <f t="shared" si="38"/>
        <v>0</v>
      </c>
    </row>
    <row r="205" spans="1:25" ht="15" customHeight="1">
      <c r="A205" s="7" t="s">
        <v>5</v>
      </c>
      <c r="B205" s="51" t="s">
        <v>12</v>
      </c>
      <c r="C205" s="9" t="s">
        <v>135</v>
      </c>
      <c r="D205" s="8" t="s">
        <v>194</v>
      </c>
      <c r="E205" s="8" t="str">
        <f t="shared" si="40"/>
        <v>COMERCIAL ROMERO REYNA COMROLIQUIDO</v>
      </c>
      <c r="F205" s="28">
        <v>372</v>
      </c>
      <c r="G205" s="28">
        <v>372</v>
      </c>
      <c r="H205" s="28">
        <v>372</v>
      </c>
      <c r="I205" s="34">
        <f t="shared" si="45"/>
        <v>1116</v>
      </c>
      <c r="J205" s="29">
        <v>1.4999999999999999E-2</v>
      </c>
      <c r="K205" s="30">
        <f t="shared" si="46"/>
        <v>16.739999999999998</v>
      </c>
      <c r="L205" s="31">
        <f t="shared" si="47"/>
        <v>18.414000000000001</v>
      </c>
      <c r="M205" s="32">
        <v>1688.5440000000001</v>
      </c>
      <c r="N205" s="32">
        <v>586.13760000000002</v>
      </c>
      <c r="O205" s="32">
        <v>491.90880000000004</v>
      </c>
      <c r="P205" s="81">
        <v>0</v>
      </c>
      <c r="Q205" s="10">
        <f t="shared" si="44"/>
        <v>2766.5904</v>
      </c>
      <c r="R205" s="33">
        <f t="shared" si="43"/>
        <v>2.4790236559139784</v>
      </c>
      <c r="S205" s="33" t="str">
        <f t="shared" si="39"/>
        <v>GANA</v>
      </c>
      <c r="T205" s="33" t="str">
        <f>VLOOKUP(B205,'CUOTA TOTAL'!$B$4:$F$72,5,FALSE)</f>
        <v>NO GANA</v>
      </c>
      <c r="U205" s="31">
        <f t="shared" si="42"/>
        <v>0</v>
      </c>
      <c r="V205" s="31">
        <f t="shared" si="38"/>
        <v>0</v>
      </c>
    </row>
    <row r="206" spans="1:25" ht="15" customHeight="1">
      <c r="A206" s="7" t="s">
        <v>5</v>
      </c>
      <c r="B206" s="51" t="s">
        <v>12</v>
      </c>
      <c r="C206" s="9" t="s">
        <v>135</v>
      </c>
      <c r="D206" s="8" t="s">
        <v>196</v>
      </c>
      <c r="E206" s="8" t="str">
        <f t="shared" si="40"/>
        <v>COMERCIAL ROMERO REYNA COMROPOLVO DETERGENTE</v>
      </c>
      <c r="F206" s="28">
        <v>2000</v>
      </c>
      <c r="G206" s="28">
        <v>2000</v>
      </c>
      <c r="H206" s="28">
        <v>2000</v>
      </c>
      <c r="I206" s="34">
        <f t="shared" si="45"/>
        <v>6000</v>
      </c>
      <c r="J206" s="29">
        <v>4.4999999999999998E-2</v>
      </c>
      <c r="K206" s="30">
        <f t="shared" si="46"/>
        <v>270</v>
      </c>
      <c r="L206" s="31">
        <f t="shared" si="47"/>
        <v>297.00000000000006</v>
      </c>
      <c r="M206" s="32">
        <v>0</v>
      </c>
      <c r="N206" s="32">
        <v>1477.3338000000001</v>
      </c>
      <c r="O206" s="32">
        <v>1886.0128000000002</v>
      </c>
      <c r="P206" s="81">
        <v>0</v>
      </c>
      <c r="Q206" s="10">
        <f t="shared" si="44"/>
        <v>3363.3466000000003</v>
      </c>
      <c r="R206" s="33">
        <f t="shared" si="43"/>
        <v>0.56055776666666668</v>
      </c>
      <c r="S206" s="33" t="str">
        <f t="shared" si="39"/>
        <v>NO GANA</v>
      </c>
      <c r="T206" s="33" t="str">
        <f>VLOOKUP(B206,'CUOTA TOTAL'!$B$4:$F$72,5,FALSE)</f>
        <v>NO GANA</v>
      </c>
      <c r="U206" s="31">
        <f t="shared" si="42"/>
        <v>0</v>
      </c>
      <c r="V206" s="31">
        <f t="shared" si="38"/>
        <v>0</v>
      </c>
    </row>
    <row r="207" spans="1:25" ht="15" customHeight="1">
      <c r="A207" s="7" t="s">
        <v>5</v>
      </c>
      <c r="B207" s="51" t="s">
        <v>12</v>
      </c>
      <c r="C207" s="9" t="s">
        <v>135</v>
      </c>
      <c r="D207" s="8" t="s">
        <v>197</v>
      </c>
      <c r="E207" s="8" t="str">
        <f t="shared" si="40"/>
        <v>COMERCIAL ROMERO REYNA COMROOTRAS CATEGORIAS</v>
      </c>
      <c r="F207" s="28">
        <v>10</v>
      </c>
      <c r="G207" s="28">
        <v>10</v>
      </c>
      <c r="H207" s="28">
        <v>10</v>
      </c>
      <c r="I207" s="34">
        <f t="shared" si="45"/>
        <v>30</v>
      </c>
      <c r="J207" s="29"/>
      <c r="K207" s="30">
        <f t="shared" si="46"/>
        <v>0</v>
      </c>
      <c r="L207" s="31">
        <f t="shared" si="47"/>
        <v>0</v>
      </c>
      <c r="M207" s="32">
        <v>0</v>
      </c>
      <c r="N207" s="32">
        <v>0</v>
      </c>
      <c r="O207" s="32">
        <v>0</v>
      </c>
      <c r="P207" s="81">
        <v>0</v>
      </c>
      <c r="Q207" s="10">
        <f t="shared" si="44"/>
        <v>0</v>
      </c>
      <c r="R207" s="33">
        <f t="shared" si="43"/>
        <v>0</v>
      </c>
      <c r="S207" s="33" t="str">
        <f t="shared" si="39"/>
        <v>NO GANA</v>
      </c>
      <c r="T207" s="33" t="str">
        <f>VLOOKUP(B207,'CUOTA TOTAL'!$B$4:$F$72,5,FALSE)</f>
        <v>NO GANA</v>
      </c>
      <c r="U207" s="31">
        <f t="shared" si="42"/>
        <v>0</v>
      </c>
      <c r="V207" s="31">
        <f t="shared" si="38"/>
        <v>0</v>
      </c>
    </row>
    <row r="208" spans="1:25" ht="15" customHeight="1">
      <c r="A208" s="7" t="s">
        <v>33</v>
      </c>
      <c r="B208" s="51" t="s">
        <v>37</v>
      </c>
      <c r="C208" s="9" t="s">
        <v>135</v>
      </c>
      <c r="D208" s="8" t="s">
        <v>165</v>
      </c>
      <c r="E208" s="8" t="str">
        <f t="shared" si="40"/>
        <v>COMERCIAL LA FERIA HLS CIA.LTDA.BARRA</v>
      </c>
      <c r="F208" s="34">
        <v>11437.53</v>
      </c>
      <c r="G208" s="34">
        <v>11437.53</v>
      </c>
      <c r="H208" s="34">
        <v>11437.53</v>
      </c>
      <c r="I208" s="34">
        <f t="shared" si="45"/>
        <v>34312.590000000004</v>
      </c>
      <c r="J208" s="29">
        <v>1.4999999999999999E-2</v>
      </c>
      <c r="K208" s="30">
        <f t="shared" si="46"/>
        <v>514.68885</v>
      </c>
      <c r="L208" s="31">
        <f t="shared" si="47"/>
        <v>566.15773500000012</v>
      </c>
      <c r="M208" s="32">
        <v>12223.731199999997</v>
      </c>
      <c r="N208" s="32">
        <v>14190.310399999998</v>
      </c>
      <c r="O208" s="32">
        <v>14002.977600000004</v>
      </c>
      <c r="P208" s="81">
        <v>0</v>
      </c>
      <c r="Q208" s="10">
        <f t="shared" si="44"/>
        <v>40417.019200000002</v>
      </c>
      <c r="R208" s="33">
        <f t="shared" si="43"/>
        <v>1.1779063952910578</v>
      </c>
      <c r="S208" s="33" t="str">
        <f t="shared" si="39"/>
        <v>GANA</v>
      </c>
      <c r="T208" s="33" t="str">
        <f>VLOOKUP(B208,'CUOTA TOTAL'!$B$4:$F$72,5,FALSE)</f>
        <v>GANA</v>
      </c>
      <c r="U208" s="31">
        <f t="shared" si="42"/>
        <v>606.25528800000006</v>
      </c>
      <c r="V208" s="31">
        <f t="shared" si="38"/>
        <v>566.15773500000012</v>
      </c>
    </row>
    <row r="209" spans="1:22" ht="15" customHeight="1">
      <c r="A209" s="7" t="s">
        <v>33</v>
      </c>
      <c r="B209" s="51" t="s">
        <v>37</v>
      </c>
      <c r="C209" s="9" t="s">
        <v>135</v>
      </c>
      <c r="D209" s="8" t="s">
        <v>193</v>
      </c>
      <c r="E209" s="8" t="str">
        <f t="shared" si="40"/>
        <v>COMERCIAL LA FERIA HLS CIA.LTDA.CREMA</v>
      </c>
      <c r="F209" s="34">
        <v>17015.96</v>
      </c>
      <c r="G209" s="34">
        <v>17015.96</v>
      </c>
      <c r="H209" s="34">
        <v>17015.96</v>
      </c>
      <c r="I209" s="34">
        <f t="shared" si="45"/>
        <v>51047.88</v>
      </c>
      <c r="J209" s="29">
        <v>3.5000000000000003E-2</v>
      </c>
      <c r="K209" s="30">
        <f t="shared" si="46"/>
        <v>1786.6758</v>
      </c>
      <c r="L209" s="31">
        <f t="shared" si="47"/>
        <v>1965.3433800000005</v>
      </c>
      <c r="M209" s="32">
        <v>22376.876999999982</v>
      </c>
      <c r="N209" s="32">
        <v>23788.962599999999</v>
      </c>
      <c r="O209" s="32">
        <v>17585.935199999996</v>
      </c>
      <c r="P209" s="81">
        <v>0</v>
      </c>
      <c r="Q209" s="10">
        <f t="shared" si="44"/>
        <v>63751.77479999997</v>
      </c>
      <c r="R209" s="33">
        <f t="shared" si="43"/>
        <v>1.2488623386514772</v>
      </c>
      <c r="S209" s="33" t="str">
        <f t="shared" si="39"/>
        <v>GANA</v>
      </c>
      <c r="T209" s="33" t="str">
        <f>VLOOKUP(B209,'CUOTA TOTAL'!$B$4:$F$72,5,FALSE)</f>
        <v>GANA</v>
      </c>
      <c r="U209" s="31">
        <f t="shared" si="42"/>
        <v>2231.3121179999994</v>
      </c>
      <c r="V209" s="31">
        <f t="shared" si="38"/>
        <v>1965.3433800000005</v>
      </c>
    </row>
    <row r="210" spans="1:22" ht="15" customHeight="1">
      <c r="A210" s="7" t="s">
        <v>33</v>
      </c>
      <c r="B210" s="51" t="s">
        <v>37</v>
      </c>
      <c r="C210" s="9" t="s">
        <v>135</v>
      </c>
      <c r="D210" s="8" t="s">
        <v>194</v>
      </c>
      <c r="E210" s="8" t="str">
        <f t="shared" si="40"/>
        <v>COMERCIAL LA FERIA HLS CIA.LTDA.LIQUIDO</v>
      </c>
      <c r="F210" s="34">
        <v>5101.8599999999997</v>
      </c>
      <c r="G210" s="34">
        <v>5101.8599999999997</v>
      </c>
      <c r="H210" s="34">
        <v>5101.8599999999997</v>
      </c>
      <c r="I210" s="34">
        <f t="shared" si="45"/>
        <v>15305.579999999998</v>
      </c>
      <c r="J210" s="29">
        <v>1.4999999999999999E-2</v>
      </c>
      <c r="K210" s="30">
        <f t="shared" si="46"/>
        <v>229.58369999999996</v>
      </c>
      <c r="L210" s="31">
        <f t="shared" si="47"/>
        <v>252.54206999999997</v>
      </c>
      <c r="M210" s="32">
        <v>3282.3119999999999</v>
      </c>
      <c r="N210" s="32">
        <v>4431.3708000000006</v>
      </c>
      <c r="O210" s="32">
        <v>5182.3107999999984</v>
      </c>
      <c r="P210" s="81">
        <v>0</v>
      </c>
      <c r="Q210" s="10">
        <f t="shared" si="44"/>
        <v>12895.993599999998</v>
      </c>
      <c r="R210" s="33">
        <f t="shared" si="43"/>
        <v>0.84256810914712144</v>
      </c>
      <c r="S210" s="33" t="str">
        <f t="shared" si="39"/>
        <v>GANA</v>
      </c>
      <c r="T210" s="33" t="str">
        <f>VLOOKUP(B210,'CUOTA TOTAL'!$B$4:$F$72,5,FALSE)</f>
        <v>GANA</v>
      </c>
      <c r="U210" s="31">
        <f t="shared" si="42"/>
        <v>193.43990399999996</v>
      </c>
      <c r="V210" s="31">
        <f t="shared" si="38"/>
        <v>193.43990399999996</v>
      </c>
    </row>
    <row r="211" spans="1:22" ht="15" customHeight="1">
      <c r="A211" s="7" t="s">
        <v>33</v>
      </c>
      <c r="B211" s="51" t="s">
        <v>37</v>
      </c>
      <c r="C211" s="9" t="s">
        <v>135</v>
      </c>
      <c r="D211" s="8" t="s">
        <v>196</v>
      </c>
      <c r="E211" s="8" t="str">
        <f t="shared" si="40"/>
        <v>COMERCIAL LA FERIA HLS CIA.LTDA.POLVO DETERGENTE</v>
      </c>
      <c r="F211" s="34">
        <v>34788.06</v>
      </c>
      <c r="G211" s="34">
        <v>34788.06</v>
      </c>
      <c r="H211" s="34">
        <v>34788.06</v>
      </c>
      <c r="I211" s="34">
        <f t="shared" si="45"/>
        <v>104364.18</v>
      </c>
      <c r="J211" s="29">
        <v>4.4999999999999998E-2</v>
      </c>
      <c r="K211" s="30">
        <f t="shared" si="46"/>
        <v>4696.3880999999992</v>
      </c>
      <c r="L211" s="31">
        <f t="shared" si="47"/>
        <v>5166.0269099999996</v>
      </c>
      <c r="M211" s="32">
        <v>43893.135999999969</v>
      </c>
      <c r="N211" s="32">
        <v>37761.944000000003</v>
      </c>
      <c r="O211" s="32">
        <v>33288.956800000007</v>
      </c>
      <c r="P211" s="81">
        <v>0</v>
      </c>
      <c r="Q211" s="10">
        <f t="shared" si="44"/>
        <v>114944.03679999997</v>
      </c>
      <c r="R211" s="33">
        <f t="shared" si="43"/>
        <v>1.1013744064294855</v>
      </c>
      <c r="S211" s="33" t="str">
        <f t="shared" si="39"/>
        <v>GANA</v>
      </c>
      <c r="T211" s="33" t="str">
        <f>VLOOKUP(B211,'CUOTA TOTAL'!$B$4:$F$72,5,FALSE)</f>
        <v>GANA</v>
      </c>
      <c r="U211" s="31">
        <f t="shared" si="42"/>
        <v>5172.481655999999</v>
      </c>
      <c r="V211" s="31">
        <f t="shared" si="38"/>
        <v>5166.0269099999996</v>
      </c>
    </row>
    <row r="212" spans="1:22" ht="15" customHeight="1">
      <c r="A212" s="7" t="s">
        <v>33</v>
      </c>
      <c r="B212" s="51" t="s">
        <v>37</v>
      </c>
      <c r="C212" s="9" t="s">
        <v>135</v>
      </c>
      <c r="D212" s="8" t="s">
        <v>197</v>
      </c>
      <c r="E212" s="8" t="str">
        <f t="shared" si="40"/>
        <v>COMERCIAL LA FERIA HLS CIA.LTDA.OTRAS CATEGORIAS</v>
      </c>
      <c r="F212" s="34"/>
      <c r="G212" s="34"/>
      <c r="H212" s="34"/>
      <c r="I212" s="34">
        <f t="shared" si="45"/>
        <v>0</v>
      </c>
      <c r="J212" s="29"/>
      <c r="K212" s="30">
        <f t="shared" si="46"/>
        <v>0</v>
      </c>
      <c r="L212" s="31">
        <f t="shared" si="47"/>
        <v>0</v>
      </c>
      <c r="M212" s="32">
        <v>0</v>
      </c>
      <c r="N212" s="32">
        <v>0</v>
      </c>
      <c r="O212" s="32">
        <v>0</v>
      </c>
      <c r="P212" s="81">
        <v>0</v>
      </c>
      <c r="Q212" s="10">
        <f t="shared" si="44"/>
        <v>0</v>
      </c>
      <c r="R212" s="33">
        <f t="shared" si="43"/>
        <v>0</v>
      </c>
      <c r="S212" s="33" t="str">
        <f t="shared" si="39"/>
        <v>NO GANA</v>
      </c>
      <c r="T212" s="33" t="str">
        <f>VLOOKUP(B212,'CUOTA TOTAL'!$B$4:$F$72,5,FALSE)</f>
        <v>GANA</v>
      </c>
      <c r="U212" s="31">
        <f t="shared" si="42"/>
        <v>0</v>
      </c>
      <c r="V212" s="31">
        <f t="shared" si="38"/>
        <v>0</v>
      </c>
    </row>
    <row r="213" spans="1:22" ht="15" customHeight="1">
      <c r="A213" s="7" t="s">
        <v>5</v>
      </c>
      <c r="B213" s="51" t="s">
        <v>11</v>
      </c>
      <c r="C213" s="9" t="s">
        <v>135</v>
      </c>
      <c r="D213" s="8" t="s">
        <v>165</v>
      </c>
      <c r="E213" s="8" t="str">
        <f t="shared" si="40"/>
        <v>COMERCIAL CASANOVA COMCASANOVA S.A.BARRA</v>
      </c>
      <c r="F213" s="28">
        <v>2500</v>
      </c>
      <c r="G213" s="28">
        <v>2500</v>
      </c>
      <c r="H213" s="28">
        <v>2500</v>
      </c>
      <c r="I213" s="34">
        <f t="shared" si="45"/>
        <v>7500</v>
      </c>
      <c r="J213" s="29">
        <v>1.4999999999999999E-2</v>
      </c>
      <c r="K213" s="30">
        <f t="shared" si="46"/>
        <v>112.5</v>
      </c>
      <c r="L213" s="31">
        <f t="shared" si="47"/>
        <v>123.75</v>
      </c>
      <c r="M213" s="32">
        <v>4039.06</v>
      </c>
      <c r="N213" s="32">
        <v>1701.5055999999997</v>
      </c>
      <c r="O213" s="32">
        <v>2508.0511999999999</v>
      </c>
      <c r="P213" s="81">
        <v>0</v>
      </c>
      <c r="Q213" s="10">
        <f t="shared" si="44"/>
        <v>8248.6167999999998</v>
      </c>
      <c r="R213" s="33">
        <f t="shared" si="43"/>
        <v>1.0998155733333332</v>
      </c>
      <c r="S213" s="33" t="str">
        <f t="shared" si="39"/>
        <v>GANA</v>
      </c>
      <c r="T213" s="33" t="str">
        <f>VLOOKUP(B213,'CUOTA TOTAL'!$B$4:$F$72,5,FALSE)</f>
        <v>GANA</v>
      </c>
      <c r="U213" s="31">
        <f t="shared" si="42"/>
        <v>123.72925199999999</v>
      </c>
      <c r="V213" s="31">
        <f t="shared" si="38"/>
        <v>123.72925199999999</v>
      </c>
    </row>
    <row r="214" spans="1:22" ht="15" customHeight="1">
      <c r="A214" s="7" t="s">
        <v>5</v>
      </c>
      <c r="B214" s="51" t="s">
        <v>11</v>
      </c>
      <c r="C214" s="9" t="s">
        <v>135</v>
      </c>
      <c r="D214" s="8" t="s">
        <v>193</v>
      </c>
      <c r="E214" s="8" t="str">
        <f t="shared" si="40"/>
        <v>COMERCIAL CASANOVA COMCASANOVA S.A.CREMA</v>
      </c>
      <c r="F214" s="28">
        <v>3800</v>
      </c>
      <c r="G214" s="28">
        <v>3800</v>
      </c>
      <c r="H214" s="28">
        <v>3800</v>
      </c>
      <c r="I214" s="34">
        <f t="shared" si="45"/>
        <v>11400</v>
      </c>
      <c r="J214" s="29">
        <v>3.5000000000000003E-2</v>
      </c>
      <c r="K214" s="30">
        <f t="shared" si="46"/>
        <v>399.00000000000006</v>
      </c>
      <c r="L214" s="31">
        <f t="shared" si="47"/>
        <v>438.90000000000009</v>
      </c>
      <c r="M214" s="32">
        <v>8625.0528000000031</v>
      </c>
      <c r="N214" s="32">
        <v>1286.7162000000001</v>
      </c>
      <c r="O214" s="32">
        <v>4652.6544000000004</v>
      </c>
      <c r="P214" s="81">
        <v>0</v>
      </c>
      <c r="Q214" s="10">
        <f t="shared" si="44"/>
        <v>14564.423400000003</v>
      </c>
      <c r="R214" s="33">
        <f t="shared" si="43"/>
        <v>1.2775810000000003</v>
      </c>
      <c r="S214" s="33" t="str">
        <f t="shared" si="39"/>
        <v>GANA</v>
      </c>
      <c r="T214" s="33" t="str">
        <f>VLOOKUP(B214,'CUOTA TOTAL'!$B$4:$F$72,5,FALSE)</f>
        <v>GANA</v>
      </c>
      <c r="U214" s="31">
        <f t="shared" si="42"/>
        <v>509.75481900000017</v>
      </c>
      <c r="V214" s="31">
        <f t="shared" si="38"/>
        <v>438.90000000000009</v>
      </c>
    </row>
    <row r="215" spans="1:22" ht="15" customHeight="1">
      <c r="A215" s="7" t="s">
        <v>5</v>
      </c>
      <c r="B215" s="51" t="s">
        <v>11</v>
      </c>
      <c r="C215" s="9" t="s">
        <v>135</v>
      </c>
      <c r="D215" s="8" t="s">
        <v>194</v>
      </c>
      <c r="E215" s="8" t="str">
        <f t="shared" si="40"/>
        <v>COMERCIAL CASANOVA COMCASANOVA S.A.LIQUIDO</v>
      </c>
      <c r="F215" s="28">
        <v>2444.94</v>
      </c>
      <c r="G215" s="28">
        <v>2444.94</v>
      </c>
      <c r="H215" s="28">
        <v>2444.94</v>
      </c>
      <c r="I215" s="56">
        <f t="shared" si="45"/>
        <v>7334.82</v>
      </c>
      <c r="J215" s="29">
        <v>1.4999999999999999E-2</v>
      </c>
      <c r="K215" s="30">
        <f t="shared" si="46"/>
        <v>110.02229999999999</v>
      </c>
      <c r="L215" s="31">
        <f t="shared" si="47"/>
        <v>121.02453</v>
      </c>
      <c r="M215" s="32">
        <v>3042.9081999999994</v>
      </c>
      <c r="N215" s="32">
        <v>3186.0051999999996</v>
      </c>
      <c r="O215" s="32">
        <v>986.58920000000001</v>
      </c>
      <c r="P215" s="81">
        <v>0</v>
      </c>
      <c r="Q215" s="10">
        <f t="shared" si="44"/>
        <v>7215.5025999999998</v>
      </c>
      <c r="R215" s="33">
        <f t="shared" si="43"/>
        <v>0.98373274327113691</v>
      </c>
      <c r="S215" s="33" t="str">
        <f t="shared" si="39"/>
        <v>GANA</v>
      </c>
      <c r="T215" s="33" t="str">
        <f>VLOOKUP(B215,'CUOTA TOTAL'!$B$4:$F$72,5,FALSE)</f>
        <v>GANA</v>
      </c>
      <c r="U215" s="31">
        <f t="shared" si="42"/>
        <v>108.23253899999999</v>
      </c>
      <c r="V215" s="31">
        <f t="shared" si="38"/>
        <v>108.23253899999999</v>
      </c>
    </row>
    <row r="216" spans="1:22" ht="15" customHeight="1">
      <c r="A216" s="7" t="s">
        <v>5</v>
      </c>
      <c r="B216" s="51" t="s">
        <v>11</v>
      </c>
      <c r="C216" s="9" t="s">
        <v>135</v>
      </c>
      <c r="D216" s="8" t="s">
        <v>196</v>
      </c>
      <c r="E216" s="8" t="str">
        <f t="shared" si="40"/>
        <v>COMERCIAL CASANOVA COMCASANOVA S.A.POLVO DETERGENTE</v>
      </c>
      <c r="F216" s="28">
        <v>11953</v>
      </c>
      <c r="G216" s="28">
        <v>11953</v>
      </c>
      <c r="H216" s="28">
        <v>11953</v>
      </c>
      <c r="I216" s="34">
        <f t="shared" si="45"/>
        <v>35859</v>
      </c>
      <c r="J216" s="29">
        <v>4.4999999999999998E-2</v>
      </c>
      <c r="K216" s="30">
        <f t="shared" si="46"/>
        <v>1613.655</v>
      </c>
      <c r="L216" s="31">
        <f t="shared" si="47"/>
        <v>1775.0205000000001</v>
      </c>
      <c r="M216" s="32">
        <v>17921.148000000001</v>
      </c>
      <c r="N216" s="32">
        <v>9416.7360000000008</v>
      </c>
      <c r="O216" s="32">
        <v>9714.0671999999995</v>
      </c>
      <c r="P216" s="81">
        <v>0</v>
      </c>
      <c r="Q216" s="10">
        <f t="shared" si="44"/>
        <v>37051.951200000003</v>
      </c>
      <c r="R216" s="33">
        <f t="shared" si="43"/>
        <v>1.0332678323433448</v>
      </c>
      <c r="S216" s="33" t="str">
        <f t="shared" si="39"/>
        <v>GANA</v>
      </c>
      <c r="T216" s="33" t="str">
        <f>VLOOKUP(B216,'CUOTA TOTAL'!$B$4:$F$72,5,FALSE)</f>
        <v>GANA</v>
      </c>
      <c r="U216" s="31">
        <f t="shared" si="42"/>
        <v>1667.337804</v>
      </c>
      <c r="V216" s="31">
        <f t="shared" si="38"/>
        <v>1667.337804</v>
      </c>
    </row>
    <row r="217" spans="1:22" ht="15" customHeight="1">
      <c r="A217" s="7" t="s">
        <v>5</v>
      </c>
      <c r="B217" s="51" t="s">
        <v>11</v>
      </c>
      <c r="C217" s="9" t="s">
        <v>135</v>
      </c>
      <c r="D217" s="8" t="s">
        <v>197</v>
      </c>
      <c r="E217" s="8" t="str">
        <f t="shared" si="40"/>
        <v>COMERCIAL CASANOVA COMCASANOVA S.A.OTRAS CATEGORIAS</v>
      </c>
      <c r="F217" s="28">
        <v>30</v>
      </c>
      <c r="G217" s="28">
        <v>30</v>
      </c>
      <c r="H217" s="28">
        <v>30</v>
      </c>
      <c r="I217" s="34">
        <f t="shared" si="45"/>
        <v>90</v>
      </c>
      <c r="J217" s="29"/>
      <c r="K217" s="30">
        <f t="shared" si="46"/>
        <v>0</v>
      </c>
      <c r="L217" s="31">
        <f t="shared" si="47"/>
        <v>0</v>
      </c>
      <c r="M217" s="32">
        <v>47.015999999999998</v>
      </c>
      <c r="N217" s="32">
        <v>20.569500000000001</v>
      </c>
      <c r="O217" s="32">
        <v>23.507999999999999</v>
      </c>
      <c r="P217" s="81">
        <v>0</v>
      </c>
      <c r="Q217" s="10">
        <f t="shared" si="44"/>
        <v>91.093499999999992</v>
      </c>
      <c r="R217" s="33">
        <f t="shared" si="43"/>
        <v>1.0121499999999999</v>
      </c>
      <c r="S217" s="33" t="str">
        <f t="shared" si="39"/>
        <v>GANA</v>
      </c>
      <c r="T217" s="33" t="str">
        <f>VLOOKUP(B217,'CUOTA TOTAL'!$B$4:$F$72,5,FALSE)</f>
        <v>GANA</v>
      </c>
      <c r="U217" s="31">
        <f t="shared" si="42"/>
        <v>0</v>
      </c>
      <c r="V217" s="31">
        <f t="shared" si="38"/>
        <v>0</v>
      </c>
    </row>
    <row r="218" spans="1:22" ht="15" customHeight="1">
      <c r="A218" s="7" t="s">
        <v>49</v>
      </c>
      <c r="B218" s="51" t="s">
        <v>57</v>
      </c>
      <c r="C218" s="9" t="s">
        <v>163</v>
      </c>
      <c r="D218" s="8" t="s">
        <v>165</v>
      </c>
      <c r="E218" s="8" t="str">
        <f t="shared" si="40"/>
        <v>DISTRIBUIDORA DE PRODUCTOS DE CONSUMO MASIVO CODIPROMASA C.ABARRA</v>
      </c>
      <c r="F218" s="40">
        <v>3860</v>
      </c>
      <c r="G218" s="40">
        <v>3860</v>
      </c>
      <c r="H218" s="40">
        <v>3860</v>
      </c>
      <c r="I218" s="34">
        <f t="shared" si="45"/>
        <v>11580</v>
      </c>
      <c r="J218" s="41">
        <v>1.4999999999999999E-2</v>
      </c>
      <c r="K218" s="30">
        <f t="shared" si="46"/>
        <v>173.7</v>
      </c>
      <c r="L218" s="31">
        <f t="shared" si="47"/>
        <v>191.07000000000002</v>
      </c>
      <c r="M218" s="32">
        <v>3797.1696000000002</v>
      </c>
      <c r="N218" s="32">
        <v>7393.6944000000003</v>
      </c>
      <c r="O218" s="32">
        <v>0</v>
      </c>
      <c r="P218" s="81">
        <v>0</v>
      </c>
      <c r="Q218" s="10">
        <f t="shared" si="44"/>
        <v>11190.864000000001</v>
      </c>
      <c r="R218" s="33">
        <f t="shared" si="43"/>
        <v>0.96639585492227986</v>
      </c>
      <c r="S218" s="33" t="str">
        <f t="shared" si="39"/>
        <v>GANA</v>
      </c>
      <c r="T218" s="33" t="str">
        <f>VLOOKUP(B218,'CUOTA TOTAL'!$B$4:$F$72,5,FALSE)</f>
        <v>GANA</v>
      </c>
      <c r="U218" s="31">
        <f t="shared" si="42"/>
        <v>167.86296000000002</v>
      </c>
      <c r="V218" s="31">
        <f t="shared" si="38"/>
        <v>167.86296000000002</v>
      </c>
    </row>
    <row r="219" spans="1:22" ht="15" customHeight="1">
      <c r="A219" s="7" t="s">
        <v>49</v>
      </c>
      <c r="B219" s="51" t="s">
        <v>57</v>
      </c>
      <c r="C219" s="9" t="s">
        <v>163</v>
      </c>
      <c r="D219" s="8" t="s">
        <v>193</v>
      </c>
      <c r="E219" s="8" t="str">
        <f t="shared" si="40"/>
        <v>DISTRIBUIDORA DE PRODUCTOS DE CONSUMO MASIVO CODIPROMASA C.ACREMA</v>
      </c>
      <c r="F219" s="40">
        <v>1200</v>
      </c>
      <c r="G219" s="40">
        <v>1200</v>
      </c>
      <c r="H219" s="40">
        <v>1200</v>
      </c>
      <c r="I219" s="34">
        <f t="shared" si="45"/>
        <v>3600</v>
      </c>
      <c r="J219" s="41">
        <v>3.5000000000000003E-2</v>
      </c>
      <c r="K219" s="30">
        <f t="shared" si="46"/>
        <v>126.00000000000001</v>
      </c>
      <c r="L219" s="31">
        <f t="shared" si="47"/>
        <v>138.60000000000002</v>
      </c>
      <c r="M219" s="32">
        <v>2765.4624000000003</v>
      </c>
      <c r="N219" s="32">
        <v>2060.5871999999999</v>
      </c>
      <c r="O219" s="32">
        <v>0</v>
      </c>
      <c r="P219" s="81">
        <v>0</v>
      </c>
      <c r="Q219" s="10">
        <f t="shared" si="44"/>
        <v>4826.0496000000003</v>
      </c>
      <c r="R219" s="33">
        <f t="shared" si="43"/>
        <v>1.3405693333333335</v>
      </c>
      <c r="S219" s="33" t="str">
        <f t="shared" si="39"/>
        <v>GANA</v>
      </c>
      <c r="T219" s="33" t="str">
        <f>VLOOKUP(B219,'CUOTA TOTAL'!$B$4:$F$72,5,FALSE)</f>
        <v>GANA</v>
      </c>
      <c r="U219" s="31">
        <f t="shared" si="42"/>
        <v>168.91173600000002</v>
      </c>
      <c r="V219" s="31">
        <f t="shared" si="38"/>
        <v>138.60000000000002</v>
      </c>
    </row>
    <row r="220" spans="1:22" ht="15" customHeight="1">
      <c r="A220" s="7" t="s">
        <v>49</v>
      </c>
      <c r="B220" s="51" t="s">
        <v>57</v>
      </c>
      <c r="C220" s="9" t="s">
        <v>163</v>
      </c>
      <c r="D220" s="8" t="s">
        <v>194</v>
      </c>
      <c r="E220" s="8" t="str">
        <f t="shared" si="40"/>
        <v>DISTRIBUIDORA DE PRODUCTOS DE CONSUMO MASIVO CODIPROMASA C.ALIQUIDO</v>
      </c>
      <c r="F220" s="40">
        <v>800</v>
      </c>
      <c r="G220" s="40">
        <v>800</v>
      </c>
      <c r="H220" s="40">
        <v>800</v>
      </c>
      <c r="I220" s="34">
        <f t="shared" si="45"/>
        <v>2400</v>
      </c>
      <c r="J220" s="41">
        <v>1.4999999999999999E-2</v>
      </c>
      <c r="K220" s="30">
        <f t="shared" si="46"/>
        <v>36</v>
      </c>
      <c r="L220" s="31">
        <f t="shared" si="47"/>
        <v>39.6</v>
      </c>
      <c r="M220" s="32">
        <v>769.81600000000003</v>
      </c>
      <c r="N220" s="32">
        <v>1404.1680000000001</v>
      </c>
      <c r="O220" s="32">
        <v>0</v>
      </c>
      <c r="P220" s="81">
        <v>0</v>
      </c>
      <c r="Q220" s="10">
        <f t="shared" si="44"/>
        <v>2173.9840000000004</v>
      </c>
      <c r="R220" s="33">
        <f t="shared" si="43"/>
        <v>0.90582666666666678</v>
      </c>
      <c r="S220" s="33" t="str">
        <f t="shared" si="39"/>
        <v>GANA</v>
      </c>
      <c r="T220" s="33" t="str">
        <f>VLOOKUP(B220,'CUOTA TOTAL'!$B$4:$F$72,5,FALSE)</f>
        <v>GANA</v>
      </c>
      <c r="U220" s="31">
        <f t="shared" si="42"/>
        <v>32.609760000000001</v>
      </c>
      <c r="V220" s="31">
        <f t="shared" si="38"/>
        <v>32.609760000000001</v>
      </c>
    </row>
    <row r="221" spans="1:22" ht="15" customHeight="1">
      <c r="A221" s="7" t="s">
        <v>49</v>
      </c>
      <c r="B221" s="51" t="s">
        <v>57</v>
      </c>
      <c r="C221" s="9" t="s">
        <v>163</v>
      </c>
      <c r="D221" s="8" t="s">
        <v>196</v>
      </c>
      <c r="E221" s="8" t="str">
        <f t="shared" si="40"/>
        <v>DISTRIBUIDORA DE PRODUCTOS DE CONSUMO MASIVO CODIPROMASA C.APOLVO DETERGENTE</v>
      </c>
      <c r="F221" s="40">
        <v>6120</v>
      </c>
      <c r="G221" s="40">
        <v>6120</v>
      </c>
      <c r="H221" s="40">
        <v>6120</v>
      </c>
      <c r="I221" s="34">
        <f t="shared" si="45"/>
        <v>18360</v>
      </c>
      <c r="J221" s="41">
        <v>4.4999999999999998E-2</v>
      </c>
      <c r="K221" s="30">
        <f t="shared" si="46"/>
        <v>826.19999999999993</v>
      </c>
      <c r="L221" s="31">
        <f t="shared" si="47"/>
        <v>908.81999999999994</v>
      </c>
      <c r="M221" s="32">
        <v>13970.830400000001</v>
      </c>
      <c r="N221" s="32">
        <v>13118.724799999998</v>
      </c>
      <c r="O221" s="32">
        <v>0</v>
      </c>
      <c r="P221" s="81">
        <v>0</v>
      </c>
      <c r="Q221" s="10">
        <f t="shared" si="44"/>
        <v>27089.555199999999</v>
      </c>
      <c r="R221" s="33">
        <f t="shared" si="43"/>
        <v>1.4754659694989105</v>
      </c>
      <c r="S221" s="33" t="str">
        <f t="shared" si="39"/>
        <v>GANA</v>
      </c>
      <c r="T221" s="33" t="str">
        <f>VLOOKUP(B221,'CUOTA TOTAL'!$B$4:$F$72,5,FALSE)</f>
        <v>GANA</v>
      </c>
      <c r="U221" s="31">
        <f t="shared" si="42"/>
        <v>1219.029984</v>
      </c>
      <c r="V221" s="31">
        <f t="shared" si="38"/>
        <v>908.81999999999994</v>
      </c>
    </row>
    <row r="222" spans="1:22" ht="15" customHeight="1">
      <c r="A222" s="7" t="s">
        <v>49</v>
      </c>
      <c r="B222" s="51" t="s">
        <v>57</v>
      </c>
      <c r="C222" s="9" t="s">
        <v>163</v>
      </c>
      <c r="D222" s="8" t="s">
        <v>197</v>
      </c>
      <c r="E222" s="8" t="str">
        <f t="shared" si="40"/>
        <v>DISTRIBUIDORA DE PRODUCTOS DE CONSUMO MASIVO CODIPROMASA C.AOTRAS CATEGORIAS</v>
      </c>
      <c r="F222" s="40">
        <v>20</v>
      </c>
      <c r="G222" s="40">
        <v>20</v>
      </c>
      <c r="H222" s="40">
        <v>20</v>
      </c>
      <c r="I222" s="34">
        <f t="shared" si="45"/>
        <v>60</v>
      </c>
      <c r="J222" s="70"/>
      <c r="K222" s="30">
        <f t="shared" si="46"/>
        <v>0</v>
      </c>
      <c r="L222" s="31">
        <f t="shared" si="47"/>
        <v>0</v>
      </c>
      <c r="M222" s="32">
        <v>0</v>
      </c>
      <c r="N222" s="32">
        <v>0</v>
      </c>
      <c r="O222" s="32">
        <v>0</v>
      </c>
      <c r="P222" s="81">
        <v>0</v>
      </c>
      <c r="Q222" s="10">
        <f t="shared" si="44"/>
        <v>0</v>
      </c>
      <c r="R222" s="33">
        <f t="shared" si="43"/>
        <v>0</v>
      </c>
      <c r="S222" s="33" t="str">
        <f t="shared" si="39"/>
        <v>NO GANA</v>
      </c>
      <c r="T222" s="33" t="str">
        <f>VLOOKUP(B222,'CUOTA TOTAL'!$B$4:$F$72,5,FALSE)</f>
        <v>GANA</v>
      </c>
      <c r="U222" s="31">
        <f t="shared" si="42"/>
        <v>0</v>
      </c>
      <c r="V222" s="31">
        <f t="shared" si="38"/>
        <v>0</v>
      </c>
    </row>
    <row r="223" spans="1:22" ht="15" customHeight="1">
      <c r="A223" s="7" t="s">
        <v>49</v>
      </c>
      <c r="B223" s="51" t="s">
        <v>54</v>
      </c>
      <c r="C223" s="9" t="s">
        <v>163</v>
      </c>
      <c r="D223" s="8" t="s">
        <v>165</v>
      </c>
      <c r="E223" s="8" t="str">
        <f t="shared" si="40"/>
        <v>CENTRO DE COMERCIO GUALLI CIA. LTDA.BARRA</v>
      </c>
      <c r="F223" s="28">
        <v>2472</v>
      </c>
      <c r="G223" s="28">
        <v>2472</v>
      </c>
      <c r="H223" s="28">
        <v>2472</v>
      </c>
      <c r="I223" s="34">
        <f t="shared" si="45"/>
        <v>7416</v>
      </c>
      <c r="J223" s="29">
        <v>1.4999999999999999E-2</v>
      </c>
      <c r="K223" s="30">
        <f t="shared" si="46"/>
        <v>111.24</v>
      </c>
      <c r="L223" s="31">
        <f t="shared" si="47"/>
        <v>122.364</v>
      </c>
      <c r="M223" s="32">
        <v>3062.4179999999997</v>
      </c>
      <c r="N223" s="32">
        <v>3014.5380000000005</v>
      </c>
      <c r="O223" s="32">
        <v>2309.5060000000008</v>
      </c>
      <c r="P223" s="81">
        <v>0</v>
      </c>
      <c r="Q223" s="10">
        <f t="shared" si="44"/>
        <v>8386.4620000000014</v>
      </c>
      <c r="R223" s="33">
        <f t="shared" si="43"/>
        <v>1.1308605717367854</v>
      </c>
      <c r="S223" s="33" t="str">
        <f t="shared" si="39"/>
        <v>GANA</v>
      </c>
      <c r="T223" s="33" t="str">
        <f>VLOOKUP(B223,'CUOTA TOTAL'!$B$4:$F$72,5,FALSE)</f>
        <v>NO GANA</v>
      </c>
      <c r="U223" s="31">
        <f t="shared" si="42"/>
        <v>0</v>
      </c>
      <c r="V223" s="31">
        <f t="shared" si="38"/>
        <v>0</v>
      </c>
    </row>
    <row r="224" spans="1:22" ht="15" customHeight="1">
      <c r="A224" s="7" t="s">
        <v>49</v>
      </c>
      <c r="B224" s="51" t="s">
        <v>54</v>
      </c>
      <c r="C224" s="9" t="s">
        <v>163</v>
      </c>
      <c r="D224" s="8" t="s">
        <v>193</v>
      </c>
      <c r="E224" s="8" t="str">
        <f t="shared" si="40"/>
        <v>CENTRO DE COMERCIO GUALLI CIA. LTDA.CREMA</v>
      </c>
      <c r="F224" s="28">
        <v>316</v>
      </c>
      <c r="G224" s="28">
        <v>316</v>
      </c>
      <c r="H224" s="28">
        <v>316</v>
      </c>
      <c r="I224" s="34">
        <f t="shared" si="45"/>
        <v>948</v>
      </c>
      <c r="J224" s="29">
        <v>1.4999999999999999E-2</v>
      </c>
      <c r="K224" s="30">
        <f t="shared" si="46"/>
        <v>14.219999999999999</v>
      </c>
      <c r="L224" s="31">
        <f t="shared" si="47"/>
        <v>15.642000000000003</v>
      </c>
      <c r="M224" s="32">
        <v>0</v>
      </c>
      <c r="N224" s="32">
        <v>0</v>
      </c>
      <c r="O224" s="32">
        <v>0</v>
      </c>
      <c r="P224" s="81">
        <v>0</v>
      </c>
      <c r="Q224" s="10">
        <f t="shared" si="44"/>
        <v>0</v>
      </c>
      <c r="R224" s="33">
        <f t="shared" si="43"/>
        <v>0</v>
      </c>
      <c r="S224" s="33" t="str">
        <f t="shared" si="39"/>
        <v>NO GANA</v>
      </c>
      <c r="T224" s="33" t="str">
        <f>VLOOKUP(B224,'CUOTA TOTAL'!$B$4:$F$72,5,FALSE)</f>
        <v>NO GANA</v>
      </c>
      <c r="U224" s="31">
        <f t="shared" si="42"/>
        <v>0</v>
      </c>
      <c r="V224" s="31">
        <f t="shared" si="38"/>
        <v>0</v>
      </c>
    </row>
    <row r="225" spans="1:22" ht="15" customHeight="1">
      <c r="A225" s="7" t="s">
        <v>49</v>
      </c>
      <c r="B225" s="51" t="s">
        <v>54</v>
      </c>
      <c r="C225" s="9" t="s">
        <v>163</v>
      </c>
      <c r="D225" s="8" t="s">
        <v>194</v>
      </c>
      <c r="E225" s="8" t="str">
        <f t="shared" si="40"/>
        <v>CENTRO DE COMERCIO GUALLI CIA. LTDA.LIQUIDO</v>
      </c>
      <c r="F225" s="28">
        <v>1157</v>
      </c>
      <c r="G225" s="28">
        <v>1157</v>
      </c>
      <c r="H225" s="28">
        <v>1157</v>
      </c>
      <c r="I225" s="34">
        <f t="shared" si="45"/>
        <v>3471</v>
      </c>
      <c r="J225" s="29">
        <v>1.4999999999999999E-2</v>
      </c>
      <c r="K225" s="30">
        <f t="shared" si="46"/>
        <v>52.064999999999998</v>
      </c>
      <c r="L225" s="31">
        <f t="shared" si="47"/>
        <v>57.271500000000003</v>
      </c>
      <c r="M225" s="32">
        <v>1242.3600000000001</v>
      </c>
      <c r="N225" s="32">
        <v>1701.1800000000007</v>
      </c>
      <c r="O225" s="32">
        <v>1208.0904</v>
      </c>
      <c r="P225" s="81">
        <v>0</v>
      </c>
      <c r="Q225" s="10">
        <f t="shared" si="44"/>
        <v>4151.6304000000009</v>
      </c>
      <c r="R225" s="33">
        <f t="shared" si="43"/>
        <v>1.1960905790838379</v>
      </c>
      <c r="S225" s="33" t="str">
        <f t="shared" si="39"/>
        <v>GANA</v>
      </c>
      <c r="T225" s="33" t="str">
        <f>VLOOKUP(B225,'CUOTA TOTAL'!$B$4:$F$72,5,FALSE)</f>
        <v>NO GANA</v>
      </c>
      <c r="U225" s="31">
        <f t="shared" si="42"/>
        <v>0</v>
      </c>
      <c r="V225" s="31">
        <f t="shared" si="38"/>
        <v>0</v>
      </c>
    </row>
    <row r="226" spans="1:22" ht="15" customHeight="1">
      <c r="A226" s="7" t="s">
        <v>49</v>
      </c>
      <c r="B226" s="51" t="s">
        <v>54</v>
      </c>
      <c r="C226" s="9" t="s">
        <v>163</v>
      </c>
      <c r="D226" s="8" t="s">
        <v>196</v>
      </c>
      <c r="E226" s="8" t="str">
        <f t="shared" si="40"/>
        <v>CENTRO DE COMERCIO GUALLI CIA. LTDA.POLVO DETERGENTE</v>
      </c>
      <c r="F226" s="28">
        <v>1928</v>
      </c>
      <c r="G226" s="28">
        <v>1928</v>
      </c>
      <c r="H226" s="28">
        <v>1928</v>
      </c>
      <c r="I226" s="34">
        <f t="shared" si="45"/>
        <v>5784</v>
      </c>
      <c r="J226" s="29">
        <v>1.4999999999999999E-2</v>
      </c>
      <c r="K226" s="30">
        <f t="shared" si="46"/>
        <v>86.759999999999991</v>
      </c>
      <c r="L226" s="31">
        <f t="shared" si="47"/>
        <v>95.436000000000007</v>
      </c>
      <c r="M226" s="32">
        <v>1569.4560000000001</v>
      </c>
      <c r="N226" s="32">
        <v>1831.0320000000002</v>
      </c>
      <c r="O226" s="32">
        <v>1569.4560000000001</v>
      </c>
      <c r="P226" s="81">
        <v>0</v>
      </c>
      <c r="Q226" s="10">
        <f t="shared" si="44"/>
        <v>4969.9440000000004</v>
      </c>
      <c r="R226" s="33">
        <f t="shared" si="43"/>
        <v>0.85925726141078851</v>
      </c>
      <c r="S226" s="33" t="str">
        <f t="shared" si="39"/>
        <v>GANA</v>
      </c>
      <c r="T226" s="33" t="str">
        <f>VLOOKUP(B226,'CUOTA TOTAL'!$B$4:$F$72,5,FALSE)</f>
        <v>NO GANA</v>
      </c>
      <c r="U226" s="31">
        <f t="shared" si="42"/>
        <v>0</v>
      </c>
      <c r="V226" s="31">
        <f t="shared" si="38"/>
        <v>0</v>
      </c>
    </row>
    <row r="227" spans="1:22" ht="15" customHeight="1">
      <c r="A227" s="7" t="s">
        <v>49</v>
      </c>
      <c r="B227" s="51" t="s">
        <v>54</v>
      </c>
      <c r="C227" s="9" t="s">
        <v>163</v>
      </c>
      <c r="D227" s="8" t="s">
        <v>197</v>
      </c>
      <c r="E227" s="8" t="str">
        <f t="shared" si="40"/>
        <v>CENTRO DE COMERCIO GUALLI CIA. LTDA.OTRAS CATEGORIAS</v>
      </c>
      <c r="F227" s="28">
        <v>20</v>
      </c>
      <c r="G227" s="28">
        <v>20</v>
      </c>
      <c r="H227" s="28">
        <v>20</v>
      </c>
      <c r="I227" s="34">
        <f t="shared" si="45"/>
        <v>60</v>
      </c>
      <c r="J227" s="69">
        <v>1.4999999999999999E-2</v>
      </c>
      <c r="K227" s="30">
        <f t="shared" si="46"/>
        <v>0.89999999999999991</v>
      </c>
      <c r="L227" s="31">
        <f t="shared" si="47"/>
        <v>0.99</v>
      </c>
      <c r="M227" s="32">
        <v>0</v>
      </c>
      <c r="N227" s="32">
        <v>0</v>
      </c>
      <c r="O227" s="32">
        <v>0</v>
      </c>
      <c r="P227" s="81">
        <v>0</v>
      </c>
      <c r="Q227" s="10">
        <f t="shared" si="44"/>
        <v>0</v>
      </c>
      <c r="R227" s="33">
        <f t="shared" si="43"/>
        <v>0</v>
      </c>
      <c r="S227" s="33" t="str">
        <f t="shared" si="39"/>
        <v>NO GANA</v>
      </c>
      <c r="T227" s="33" t="str">
        <f>VLOOKUP(B227,'CUOTA TOTAL'!$B$4:$F$72,5,FALSE)</f>
        <v>NO GANA</v>
      </c>
      <c r="U227" s="31">
        <f t="shared" si="42"/>
        <v>0</v>
      </c>
      <c r="V227" s="31">
        <f t="shared" si="38"/>
        <v>0</v>
      </c>
    </row>
    <row r="228" spans="1:22" ht="15" customHeight="1">
      <c r="A228" s="7" t="s">
        <v>5</v>
      </c>
      <c r="B228" s="51" t="s">
        <v>10</v>
      </c>
      <c r="C228" s="9" t="s">
        <v>135</v>
      </c>
      <c r="D228" s="8" t="s">
        <v>165</v>
      </c>
      <c r="E228" s="8" t="str">
        <f t="shared" si="40"/>
        <v>CEDEÑO MEDINA WASHINGTON MONSERRATEBARRA</v>
      </c>
      <c r="F228" s="28">
        <v>372.3</v>
      </c>
      <c r="G228" s="28">
        <v>372.3</v>
      </c>
      <c r="H228" s="28">
        <v>372.3</v>
      </c>
      <c r="I228" s="34">
        <f t="shared" si="45"/>
        <v>1116.9000000000001</v>
      </c>
      <c r="J228" s="29">
        <v>1.4999999999999999E-2</v>
      </c>
      <c r="K228" s="30">
        <f t="shared" si="46"/>
        <v>16.753500000000003</v>
      </c>
      <c r="L228" s="31">
        <f t="shared" si="47"/>
        <v>18.428850000000001</v>
      </c>
      <c r="M228" s="32">
        <v>0</v>
      </c>
      <c r="N228" s="32">
        <v>0</v>
      </c>
      <c r="O228" s="32">
        <v>1118.4671999999998</v>
      </c>
      <c r="P228" s="81">
        <v>0</v>
      </c>
      <c r="Q228" s="10">
        <f t="shared" si="44"/>
        <v>1118.4671999999998</v>
      </c>
      <c r="R228" s="33">
        <f t="shared" si="43"/>
        <v>1.0014031694869727</v>
      </c>
      <c r="S228" s="33" t="str">
        <f t="shared" si="39"/>
        <v>GANA</v>
      </c>
      <c r="T228" s="33" t="str">
        <f>VLOOKUP(B228,'CUOTA TOTAL'!$B$4:$F$72,5,FALSE)</f>
        <v>GANA</v>
      </c>
      <c r="U228" s="31">
        <f t="shared" si="42"/>
        <v>16.777007999999995</v>
      </c>
      <c r="V228" s="31">
        <f t="shared" si="38"/>
        <v>16.777007999999995</v>
      </c>
    </row>
    <row r="229" spans="1:22" ht="15" customHeight="1">
      <c r="A229" s="7" t="s">
        <v>5</v>
      </c>
      <c r="B229" s="51" t="s">
        <v>10</v>
      </c>
      <c r="C229" s="9" t="s">
        <v>135</v>
      </c>
      <c r="D229" s="8" t="s">
        <v>193</v>
      </c>
      <c r="E229" s="8" t="str">
        <f t="shared" si="40"/>
        <v>CEDEÑO MEDINA WASHINGTON MONSERRATECREMA</v>
      </c>
      <c r="F229" s="28">
        <v>720.46</v>
      </c>
      <c r="G229" s="28">
        <v>720.46</v>
      </c>
      <c r="H229" s="28">
        <v>720.46</v>
      </c>
      <c r="I229" s="34">
        <f t="shared" si="45"/>
        <v>2161.38</v>
      </c>
      <c r="J229" s="29">
        <v>3.5000000000000003E-2</v>
      </c>
      <c r="K229" s="30">
        <f t="shared" si="46"/>
        <v>75.648300000000006</v>
      </c>
      <c r="L229" s="31">
        <f t="shared" si="47"/>
        <v>83.213130000000021</v>
      </c>
      <c r="M229" s="32">
        <v>0</v>
      </c>
      <c r="N229" s="32">
        <v>0</v>
      </c>
      <c r="O229" s="32">
        <v>2310.4992000000002</v>
      </c>
      <c r="P229" s="81">
        <v>0</v>
      </c>
      <c r="Q229" s="10">
        <f t="shared" si="44"/>
        <v>2310.4992000000002</v>
      </c>
      <c r="R229" s="33">
        <f t="shared" si="43"/>
        <v>1.0689925880687339</v>
      </c>
      <c r="S229" s="33" t="str">
        <f t="shared" si="39"/>
        <v>GANA</v>
      </c>
      <c r="T229" s="33" t="str">
        <f>VLOOKUP(B229,'CUOTA TOTAL'!$B$4:$F$72,5,FALSE)</f>
        <v>GANA</v>
      </c>
      <c r="U229" s="31">
        <f t="shared" si="42"/>
        <v>80.867472000000021</v>
      </c>
      <c r="V229" s="31">
        <f t="shared" si="38"/>
        <v>80.867472000000021</v>
      </c>
    </row>
    <row r="230" spans="1:22" ht="15" customHeight="1">
      <c r="A230" s="7" t="s">
        <v>5</v>
      </c>
      <c r="B230" s="51" t="s">
        <v>10</v>
      </c>
      <c r="C230" s="9" t="s">
        <v>135</v>
      </c>
      <c r="D230" s="8" t="s">
        <v>194</v>
      </c>
      <c r="E230" s="8" t="str">
        <f t="shared" si="40"/>
        <v>CEDEÑO MEDINA WASHINGTON MONSERRATELIQUIDO</v>
      </c>
      <c r="F230" s="28">
        <v>182.24</v>
      </c>
      <c r="G230" s="28">
        <v>182.24</v>
      </c>
      <c r="H230" s="28">
        <v>182.24</v>
      </c>
      <c r="I230" s="34">
        <f t="shared" si="45"/>
        <v>546.72</v>
      </c>
      <c r="J230" s="29">
        <v>1.4999999999999999E-2</v>
      </c>
      <c r="K230" s="30">
        <f t="shared" si="46"/>
        <v>8.200800000000001</v>
      </c>
      <c r="L230" s="31">
        <f t="shared" si="47"/>
        <v>9.02088</v>
      </c>
      <c r="M230" s="32">
        <v>0</v>
      </c>
      <c r="N230" s="32">
        <v>456.28</v>
      </c>
      <c r="O230" s="32">
        <v>165.32159999999999</v>
      </c>
      <c r="P230" s="81">
        <v>0</v>
      </c>
      <c r="Q230" s="10">
        <f t="shared" si="44"/>
        <v>621.60159999999996</v>
      </c>
      <c r="R230" s="33">
        <f t="shared" si="43"/>
        <v>1.1369651741293532</v>
      </c>
      <c r="S230" s="33" t="str">
        <f t="shared" si="39"/>
        <v>GANA</v>
      </c>
      <c r="T230" s="33" t="str">
        <f>VLOOKUP(B230,'CUOTA TOTAL'!$B$4:$F$72,5,FALSE)</f>
        <v>GANA</v>
      </c>
      <c r="U230" s="31">
        <f t="shared" si="42"/>
        <v>9.3240239999999996</v>
      </c>
      <c r="V230" s="31">
        <f t="shared" si="38"/>
        <v>9.02088</v>
      </c>
    </row>
    <row r="231" spans="1:22" ht="15" customHeight="1">
      <c r="A231" s="7" t="s">
        <v>5</v>
      </c>
      <c r="B231" s="51" t="s">
        <v>10</v>
      </c>
      <c r="C231" s="9" t="s">
        <v>135</v>
      </c>
      <c r="D231" s="8" t="s">
        <v>196</v>
      </c>
      <c r="E231" s="8" t="str">
        <f t="shared" si="40"/>
        <v>CEDEÑO MEDINA WASHINGTON MONSERRATEPOLVO DETERGENTE</v>
      </c>
      <c r="F231" s="28">
        <v>1183.54</v>
      </c>
      <c r="G231" s="28">
        <v>1183.54</v>
      </c>
      <c r="H231" s="28">
        <v>1183.54</v>
      </c>
      <c r="I231" s="34">
        <f t="shared" si="45"/>
        <v>3550.62</v>
      </c>
      <c r="J231" s="29">
        <v>4.4999999999999998E-2</v>
      </c>
      <c r="K231" s="30">
        <f t="shared" si="46"/>
        <v>159.77789999999999</v>
      </c>
      <c r="L231" s="31">
        <f t="shared" si="47"/>
        <v>175.75569000000002</v>
      </c>
      <c r="M231" s="32">
        <v>0</v>
      </c>
      <c r="N231" s="32">
        <v>0</v>
      </c>
      <c r="O231" s="32">
        <v>3469.1615999999999</v>
      </c>
      <c r="P231" s="81">
        <v>0</v>
      </c>
      <c r="Q231" s="10">
        <f t="shared" si="44"/>
        <v>3469.1615999999999</v>
      </c>
      <c r="R231" s="33">
        <f t="shared" si="43"/>
        <v>0.97705797860655319</v>
      </c>
      <c r="S231" s="33" t="str">
        <f t="shared" si="39"/>
        <v>GANA</v>
      </c>
      <c r="T231" s="33" t="str">
        <f>VLOOKUP(B231,'CUOTA TOTAL'!$B$4:$F$72,5,FALSE)</f>
        <v>GANA</v>
      </c>
      <c r="U231" s="31">
        <f t="shared" si="42"/>
        <v>156.11227199999999</v>
      </c>
      <c r="V231" s="31">
        <f t="shared" si="38"/>
        <v>156.11227199999999</v>
      </c>
    </row>
    <row r="232" spans="1:22" ht="15" customHeight="1">
      <c r="A232" s="7" t="s">
        <v>5</v>
      </c>
      <c r="B232" s="51" t="s">
        <v>10</v>
      </c>
      <c r="C232" s="9" t="s">
        <v>135</v>
      </c>
      <c r="D232" s="8" t="s">
        <v>197</v>
      </c>
      <c r="E232" s="8" t="str">
        <f t="shared" si="40"/>
        <v>CEDEÑO MEDINA WASHINGTON MONSERRATEOTRAS CATEGORIAS</v>
      </c>
      <c r="F232" s="28">
        <v>10</v>
      </c>
      <c r="G232" s="28">
        <v>10</v>
      </c>
      <c r="H232" s="28">
        <v>10</v>
      </c>
      <c r="I232" s="34">
        <f t="shared" si="45"/>
        <v>30</v>
      </c>
      <c r="J232" s="29"/>
      <c r="K232" s="30">
        <f t="shared" si="46"/>
        <v>0</v>
      </c>
      <c r="L232" s="31">
        <f t="shared" si="47"/>
        <v>0</v>
      </c>
      <c r="M232" s="32">
        <v>0</v>
      </c>
      <c r="N232" s="32">
        <v>0</v>
      </c>
      <c r="O232" s="32">
        <v>0</v>
      </c>
      <c r="P232" s="81">
        <v>0</v>
      </c>
      <c r="Q232" s="10">
        <f t="shared" si="44"/>
        <v>0</v>
      </c>
      <c r="R232" s="33">
        <f t="shared" si="43"/>
        <v>0</v>
      </c>
      <c r="S232" s="33" t="str">
        <f t="shared" si="39"/>
        <v>NO GANA</v>
      </c>
      <c r="T232" s="33" t="str">
        <f>VLOOKUP(B232,'CUOTA TOTAL'!$B$4:$F$72,5,FALSE)</f>
        <v>GANA</v>
      </c>
      <c r="U232" s="31">
        <f t="shared" si="42"/>
        <v>0</v>
      </c>
      <c r="V232" s="31">
        <f t="shared" si="38"/>
        <v>0</v>
      </c>
    </row>
    <row r="233" spans="1:22" ht="15" customHeight="1">
      <c r="A233" s="7" t="s">
        <v>33</v>
      </c>
      <c r="B233" s="51" t="s">
        <v>118</v>
      </c>
      <c r="C233" s="9" t="s">
        <v>135</v>
      </c>
      <c r="D233" s="8" t="s">
        <v>165</v>
      </c>
      <c r="E233" s="8" t="str">
        <f t="shared" si="40"/>
        <v>CEDEPLUS S.C.C.BARRA</v>
      </c>
      <c r="F233" s="34">
        <v>3656.17</v>
      </c>
      <c r="G233" s="34">
        <v>3656.17</v>
      </c>
      <c r="H233" s="34">
        <v>3656.17</v>
      </c>
      <c r="I233" s="34">
        <f t="shared" si="45"/>
        <v>10968.51</v>
      </c>
      <c r="J233" s="29">
        <v>1.4999999999999999E-2</v>
      </c>
      <c r="K233" s="30">
        <f t="shared" si="46"/>
        <v>164.52764999999999</v>
      </c>
      <c r="L233" s="31">
        <f t="shared" si="47"/>
        <v>180.98041499999999</v>
      </c>
      <c r="M233" s="32">
        <v>0</v>
      </c>
      <c r="N233" s="32">
        <v>2138.4432000000002</v>
      </c>
      <c r="O233" s="32">
        <v>5919.9359999999997</v>
      </c>
      <c r="P233" s="81">
        <v>0</v>
      </c>
      <c r="Q233" s="10">
        <f t="shared" si="44"/>
        <v>8058.3791999999994</v>
      </c>
      <c r="R233" s="33">
        <f t="shared" si="43"/>
        <v>0.73468312469059149</v>
      </c>
      <c r="S233" s="33" t="str">
        <f t="shared" si="39"/>
        <v>NO GANA</v>
      </c>
      <c r="T233" s="33" t="str">
        <f>VLOOKUP(B233,'CUOTA TOTAL'!$B$4:$F$72,5,FALSE)</f>
        <v>GANA</v>
      </c>
      <c r="U233" s="31">
        <f t="shared" si="42"/>
        <v>0</v>
      </c>
      <c r="V233" s="31">
        <f t="shared" si="38"/>
        <v>0</v>
      </c>
    </row>
    <row r="234" spans="1:22" ht="15" customHeight="1">
      <c r="A234" s="7" t="s">
        <v>33</v>
      </c>
      <c r="B234" s="51" t="s">
        <v>118</v>
      </c>
      <c r="C234" s="9" t="s">
        <v>135</v>
      </c>
      <c r="D234" s="8" t="s">
        <v>193</v>
      </c>
      <c r="E234" s="8" t="str">
        <f t="shared" si="40"/>
        <v>CEDEPLUS S.C.C.CREMA</v>
      </c>
      <c r="F234" s="34">
        <v>6395.03</v>
      </c>
      <c r="G234" s="34">
        <v>6395.03</v>
      </c>
      <c r="H234" s="34">
        <v>6395.03</v>
      </c>
      <c r="I234" s="34">
        <f t="shared" si="45"/>
        <v>19185.09</v>
      </c>
      <c r="J234" s="29">
        <v>3.5000000000000003E-2</v>
      </c>
      <c r="K234" s="30">
        <f t="shared" si="46"/>
        <v>671.47815000000003</v>
      </c>
      <c r="L234" s="31">
        <f t="shared" si="47"/>
        <v>738.62596500000018</v>
      </c>
      <c r="M234" s="32">
        <v>0</v>
      </c>
      <c r="N234" s="32">
        <v>3682.7568000000006</v>
      </c>
      <c r="O234" s="32">
        <v>15828.388800000001</v>
      </c>
      <c r="P234" s="81">
        <v>0</v>
      </c>
      <c r="Q234" s="10">
        <f t="shared" si="44"/>
        <v>19511.1456</v>
      </c>
      <c r="R234" s="33">
        <f t="shared" si="43"/>
        <v>1.0169952603818904</v>
      </c>
      <c r="S234" s="33" t="str">
        <f t="shared" si="39"/>
        <v>GANA</v>
      </c>
      <c r="T234" s="33" t="str">
        <f>VLOOKUP(B234,'CUOTA TOTAL'!$B$4:$F$72,5,FALSE)</f>
        <v>GANA</v>
      </c>
      <c r="U234" s="31">
        <f t="shared" si="42"/>
        <v>682.89009600000009</v>
      </c>
      <c r="V234" s="31">
        <f t="shared" si="38"/>
        <v>682.89009600000009</v>
      </c>
    </row>
    <row r="235" spans="1:22" ht="15" customHeight="1">
      <c r="A235" s="7" t="s">
        <v>33</v>
      </c>
      <c r="B235" s="51" t="s">
        <v>118</v>
      </c>
      <c r="C235" s="9" t="s">
        <v>135</v>
      </c>
      <c r="D235" s="8" t="s">
        <v>194</v>
      </c>
      <c r="E235" s="8" t="str">
        <f t="shared" si="40"/>
        <v>CEDEPLUS S.C.C.LIQUIDO</v>
      </c>
      <c r="F235" s="34">
        <v>905.2</v>
      </c>
      <c r="G235" s="34">
        <v>905.2</v>
      </c>
      <c r="H235" s="34">
        <v>905.2</v>
      </c>
      <c r="I235" s="34">
        <f t="shared" si="45"/>
        <v>2715.6000000000004</v>
      </c>
      <c r="J235" s="29">
        <v>1.4999999999999999E-2</v>
      </c>
      <c r="K235" s="30">
        <f t="shared" si="46"/>
        <v>40.734000000000002</v>
      </c>
      <c r="L235" s="31">
        <f t="shared" si="47"/>
        <v>44.807400000000008</v>
      </c>
      <c r="M235" s="32">
        <v>0</v>
      </c>
      <c r="N235" s="32">
        <v>1558.6559999999999</v>
      </c>
      <c r="O235" s="32">
        <v>1345.8335999999999</v>
      </c>
      <c r="P235" s="81">
        <v>0</v>
      </c>
      <c r="Q235" s="10">
        <f t="shared" si="44"/>
        <v>2904.4895999999999</v>
      </c>
      <c r="R235" s="33">
        <f t="shared" si="43"/>
        <v>1.0695572249226688</v>
      </c>
      <c r="S235" s="33" t="str">
        <f t="shared" si="39"/>
        <v>GANA</v>
      </c>
      <c r="T235" s="33" t="str">
        <f>VLOOKUP(B235,'CUOTA TOTAL'!$B$4:$F$72,5,FALSE)</f>
        <v>GANA</v>
      </c>
      <c r="U235" s="31">
        <f t="shared" si="42"/>
        <v>43.567343999999999</v>
      </c>
      <c r="V235" s="31">
        <f t="shared" si="38"/>
        <v>43.567343999999999</v>
      </c>
    </row>
    <row r="236" spans="1:22" ht="15" customHeight="1">
      <c r="A236" s="7" t="s">
        <v>33</v>
      </c>
      <c r="B236" s="51" t="s">
        <v>118</v>
      </c>
      <c r="C236" s="9" t="s">
        <v>135</v>
      </c>
      <c r="D236" s="8" t="s">
        <v>196</v>
      </c>
      <c r="E236" s="8" t="str">
        <f t="shared" si="40"/>
        <v>CEDEPLUS S.C.C.POLVO DETERGENTE</v>
      </c>
      <c r="F236" s="34">
        <v>10861.36</v>
      </c>
      <c r="G236" s="34">
        <v>10861.36</v>
      </c>
      <c r="H236" s="34">
        <v>10861.36</v>
      </c>
      <c r="I236" s="34">
        <f t="shared" si="45"/>
        <v>32584.080000000002</v>
      </c>
      <c r="J236" s="29">
        <v>4.4999999999999998E-2</v>
      </c>
      <c r="K236" s="30">
        <f t="shared" si="46"/>
        <v>1466.2836</v>
      </c>
      <c r="L236" s="31">
        <f t="shared" si="47"/>
        <v>1612.9119600000001</v>
      </c>
      <c r="M236" s="32">
        <v>0</v>
      </c>
      <c r="N236" s="32">
        <v>10679.683200000001</v>
      </c>
      <c r="O236" s="32">
        <v>24320.614399999999</v>
      </c>
      <c r="P236" s="81">
        <v>0</v>
      </c>
      <c r="Q236" s="10">
        <f t="shared" si="44"/>
        <v>35000.297599999998</v>
      </c>
      <c r="R236" s="33">
        <f t="shared" si="43"/>
        <v>1.0741533165889599</v>
      </c>
      <c r="S236" s="33" t="str">
        <f t="shared" si="39"/>
        <v>GANA</v>
      </c>
      <c r="T236" s="33" t="str">
        <f>VLOOKUP(B236,'CUOTA TOTAL'!$B$4:$F$72,5,FALSE)</f>
        <v>GANA</v>
      </c>
      <c r="U236" s="31">
        <f t="shared" si="42"/>
        <v>1575.0133919999998</v>
      </c>
      <c r="V236" s="31">
        <f t="shared" si="38"/>
        <v>1575.0133919999998</v>
      </c>
    </row>
    <row r="237" spans="1:22" ht="15" customHeight="1">
      <c r="A237" s="7" t="s">
        <v>33</v>
      </c>
      <c r="B237" s="51" t="s">
        <v>118</v>
      </c>
      <c r="C237" s="9" t="s">
        <v>135</v>
      </c>
      <c r="D237" s="8" t="s">
        <v>197</v>
      </c>
      <c r="E237" s="8" t="str">
        <f t="shared" si="40"/>
        <v>CEDEPLUS S.C.C.OTRAS CATEGORIAS</v>
      </c>
      <c r="F237" s="34"/>
      <c r="G237" s="34"/>
      <c r="H237" s="34"/>
      <c r="I237" s="34">
        <f t="shared" si="45"/>
        <v>0</v>
      </c>
      <c r="J237" s="29"/>
      <c r="K237" s="30">
        <f t="shared" si="46"/>
        <v>0</v>
      </c>
      <c r="L237" s="31">
        <f t="shared" si="47"/>
        <v>0</v>
      </c>
      <c r="M237" s="32">
        <v>0</v>
      </c>
      <c r="N237" s="32">
        <v>0</v>
      </c>
      <c r="O237" s="32">
        <v>0</v>
      </c>
      <c r="P237" s="81">
        <v>0</v>
      </c>
      <c r="Q237" s="10">
        <f t="shared" si="44"/>
        <v>0</v>
      </c>
      <c r="R237" s="33">
        <f t="shared" si="43"/>
        <v>0</v>
      </c>
      <c r="S237" s="33" t="str">
        <f t="shared" si="39"/>
        <v>NO GANA</v>
      </c>
      <c r="T237" s="33" t="str">
        <f>VLOOKUP(B237,'CUOTA TOTAL'!$B$4:$F$72,5,FALSE)</f>
        <v>GANA</v>
      </c>
      <c r="U237" s="31">
        <f t="shared" si="42"/>
        <v>0</v>
      </c>
      <c r="V237" s="31">
        <f t="shared" si="38"/>
        <v>0</v>
      </c>
    </row>
    <row r="238" spans="1:22" ht="15" customHeight="1">
      <c r="A238" s="7" t="s">
        <v>49</v>
      </c>
      <c r="B238" s="51" t="s">
        <v>53</v>
      </c>
      <c r="C238" s="9" t="s">
        <v>135</v>
      </c>
      <c r="D238" s="8" t="s">
        <v>165</v>
      </c>
      <c r="E238" s="8" t="str">
        <f t="shared" si="40"/>
        <v>CAYA-AUTOSERVICIOS S.A.SBARRA</v>
      </c>
      <c r="F238" s="28">
        <v>1370</v>
      </c>
      <c r="G238" s="28">
        <v>1370</v>
      </c>
      <c r="H238" s="28">
        <v>1370</v>
      </c>
      <c r="I238" s="34">
        <f t="shared" si="45"/>
        <v>4110</v>
      </c>
      <c r="J238" s="29">
        <v>1.4999999999999999E-2</v>
      </c>
      <c r="K238" s="30">
        <f t="shared" si="46"/>
        <v>61.65</v>
      </c>
      <c r="L238" s="31">
        <f t="shared" si="47"/>
        <v>67.814999999999998</v>
      </c>
      <c r="M238" s="32">
        <v>1354.8</v>
      </c>
      <c r="N238" s="32">
        <v>1961.9163999999998</v>
      </c>
      <c r="O238" s="32">
        <v>973.2743999999999</v>
      </c>
      <c r="P238" s="81">
        <v>0</v>
      </c>
      <c r="Q238" s="10">
        <f t="shared" si="44"/>
        <v>4289.9907999999996</v>
      </c>
      <c r="R238" s="33">
        <f t="shared" si="43"/>
        <v>1.0437933819951337</v>
      </c>
      <c r="S238" s="33" t="str">
        <f t="shared" si="39"/>
        <v>GANA</v>
      </c>
      <c r="T238" s="33" t="str">
        <f>VLOOKUP(B238,'CUOTA TOTAL'!$B$4:$F$72,5,FALSE)</f>
        <v>GANA</v>
      </c>
      <c r="U238" s="31">
        <f t="shared" si="42"/>
        <v>64.349861999999987</v>
      </c>
      <c r="V238" s="31">
        <f t="shared" si="38"/>
        <v>64.349861999999987</v>
      </c>
    </row>
    <row r="239" spans="1:22" ht="15" customHeight="1">
      <c r="A239" s="7" t="s">
        <v>49</v>
      </c>
      <c r="B239" s="51" t="s">
        <v>53</v>
      </c>
      <c r="C239" s="9" t="s">
        <v>135</v>
      </c>
      <c r="D239" s="8" t="s">
        <v>193</v>
      </c>
      <c r="E239" s="8" t="str">
        <f t="shared" si="40"/>
        <v>CAYA-AUTOSERVICIOS S.A.SCREMA</v>
      </c>
      <c r="F239" s="28">
        <v>291</v>
      </c>
      <c r="G239" s="28">
        <v>291</v>
      </c>
      <c r="H239" s="28">
        <v>291</v>
      </c>
      <c r="I239" s="34">
        <f t="shared" si="45"/>
        <v>873</v>
      </c>
      <c r="J239" s="29">
        <v>3.5000000000000003E-2</v>
      </c>
      <c r="K239" s="30">
        <f t="shared" si="46"/>
        <v>30.555000000000003</v>
      </c>
      <c r="L239" s="31">
        <f t="shared" si="47"/>
        <v>33.610500000000009</v>
      </c>
      <c r="M239" s="32">
        <v>563.65500000000009</v>
      </c>
      <c r="N239" s="32">
        <v>763.79400000000021</v>
      </c>
      <c r="O239" s="32">
        <v>526.36200000000008</v>
      </c>
      <c r="P239" s="81">
        <v>0</v>
      </c>
      <c r="Q239" s="10">
        <f t="shared" si="44"/>
        <v>1853.8110000000004</v>
      </c>
      <c r="R239" s="33">
        <f t="shared" si="43"/>
        <v>2.1234948453608253</v>
      </c>
      <c r="S239" s="33" t="str">
        <f t="shared" si="39"/>
        <v>GANA</v>
      </c>
      <c r="T239" s="33" t="str">
        <f>VLOOKUP(B239,'CUOTA TOTAL'!$B$4:$F$72,5,FALSE)</f>
        <v>GANA</v>
      </c>
      <c r="U239" s="31">
        <f t="shared" si="42"/>
        <v>64.883385000000018</v>
      </c>
      <c r="V239" s="31">
        <f t="shared" si="38"/>
        <v>33.610500000000009</v>
      </c>
    </row>
    <row r="240" spans="1:22" ht="15" customHeight="1">
      <c r="A240" s="7" t="s">
        <v>49</v>
      </c>
      <c r="B240" s="51" t="s">
        <v>53</v>
      </c>
      <c r="C240" s="9" t="s">
        <v>135</v>
      </c>
      <c r="D240" s="8" t="s">
        <v>194</v>
      </c>
      <c r="E240" s="8" t="str">
        <f t="shared" si="40"/>
        <v>CAYA-AUTOSERVICIOS S.A.SLIQUIDO</v>
      </c>
      <c r="F240" s="28">
        <v>382</v>
      </c>
      <c r="G240" s="28">
        <v>382</v>
      </c>
      <c r="H240" s="28">
        <v>382</v>
      </c>
      <c r="I240" s="34">
        <f t="shared" si="45"/>
        <v>1146</v>
      </c>
      <c r="J240" s="29">
        <v>1.4999999999999999E-2</v>
      </c>
      <c r="K240" s="30">
        <f t="shared" si="46"/>
        <v>17.189999999999998</v>
      </c>
      <c r="L240" s="31">
        <f t="shared" si="47"/>
        <v>18.909000000000002</v>
      </c>
      <c r="M240" s="32">
        <v>657.61279999999999</v>
      </c>
      <c r="N240" s="32">
        <v>0</v>
      </c>
      <c r="O240" s="32">
        <v>649.44000000000005</v>
      </c>
      <c r="P240" s="81">
        <v>0</v>
      </c>
      <c r="Q240" s="10">
        <f t="shared" si="44"/>
        <v>1307.0527999999999</v>
      </c>
      <c r="R240" s="33">
        <f t="shared" si="43"/>
        <v>1.1405347294938917</v>
      </c>
      <c r="S240" s="33" t="str">
        <f t="shared" si="39"/>
        <v>GANA</v>
      </c>
      <c r="T240" s="33" t="str">
        <f>VLOOKUP(B240,'CUOTA TOTAL'!$B$4:$F$72,5,FALSE)</f>
        <v>GANA</v>
      </c>
      <c r="U240" s="31">
        <f t="shared" si="42"/>
        <v>19.605791999999997</v>
      </c>
      <c r="V240" s="31">
        <f t="shared" si="38"/>
        <v>18.909000000000002</v>
      </c>
    </row>
    <row r="241" spans="1:22" ht="15" customHeight="1">
      <c r="A241" s="7" t="s">
        <v>49</v>
      </c>
      <c r="B241" s="51" t="s">
        <v>53</v>
      </c>
      <c r="C241" s="9" t="s">
        <v>135</v>
      </c>
      <c r="D241" s="8" t="s">
        <v>196</v>
      </c>
      <c r="E241" s="8" t="str">
        <f t="shared" si="40"/>
        <v>CAYA-AUTOSERVICIOS S.A.SPOLVO DETERGENTE</v>
      </c>
      <c r="F241" s="28">
        <v>4850</v>
      </c>
      <c r="G241" s="28">
        <v>4850</v>
      </c>
      <c r="H241" s="28">
        <v>4850</v>
      </c>
      <c r="I241" s="34">
        <f t="shared" si="45"/>
        <v>14550</v>
      </c>
      <c r="J241" s="29">
        <v>4.4999999999999998E-2</v>
      </c>
      <c r="K241" s="30">
        <f t="shared" si="46"/>
        <v>654.75</v>
      </c>
      <c r="L241" s="31">
        <f t="shared" si="47"/>
        <v>720.22500000000002</v>
      </c>
      <c r="M241" s="32">
        <v>3828.3400000000006</v>
      </c>
      <c r="N241" s="32">
        <v>3839.7736</v>
      </c>
      <c r="O241" s="32">
        <v>7030.7959999999994</v>
      </c>
      <c r="P241" s="81">
        <v>0</v>
      </c>
      <c r="Q241" s="10">
        <f t="shared" si="44"/>
        <v>14698.909599999999</v>
      </c>
      <c r="R241" s="33">
        <f t="shared" si="43"/>
        <v>1.0102343367697595</v>
      </c>
      <c r="S241" s="33" t="str">
        <f t="shared" si="39"/>
        <v>GANA</v>
      </c>
      <c r="T241" s="33" t="str">
        <f>VLOOKUP(B241,'CUOTA TOTAL'!$B$4:$F$72,5,FALSE)</f>
        <v>GANA</v>
      </c>
      <c r="U241" s="31">
        <f t="shared" si="42"/>
        <v>661.45093199999997</v>
      </c>
      <c r="V241" s="31">
        <f t="shared" si="38"/>
        <v>661.45093199999997</v>
      </c>
    </row>
    <row r="242" spans="1:22" ht="15" customHeight="1">
      <c r="A242" s="7" t="s">
        <v>49</v>
      </c>
      <c r="B242" s="51" t="s">
        <v>53</v>
      </c>
      <c r="C242" s="9" t="s">
        <v>135</v>
      </c>
      <c r="D242" s="8" t="s">
        <v>197</v>
      </c>
      <c r="E242" s="8" t="str">
        <f t="shared" si="40"/>
        <v>CAYA-AUTOSERVICIOS S.A.SOTRAS CATEGORIAS</v>
      </c>
      <c r="F242" s="28">
        <v>20</v>
      </c>
      <c r="G242" s="28">
        <v>20</v>
      </c>
      <c r="H242" s="28">
        <v>20</v>
      </c>
      <c r="I242" s="34">
        <f t="shared" si="45"/>
        <v>60</v>
      </c>
      <c r="J242" s="69"/>
      <c r="K242" s="30">
        <f t="shared" si="46"/>
        <v>0</v>
      </c>
      <c r="L242" s="31">
        <f t="shared" si="47"/>
        <v>0</v>
      </c>
      <c r="M242" s="32">
        <v>0</v>
      </c>
      <c r="N242" s="32">
        <v>0</v>
      </c>
      <c r="O242" s="32">
        <v>0</v>
      </c>
      <c r="P242" s="81">
        <v>0</v>
      </c>
      <c r="Q242" s="10">
        <f t="shared" si="44"/>
        <v>0</v>
      </c>
      <c r="R242" s="33">
        <f t="shared" si="43"/>
        <v>0</v>
      </c>
      <c r="S242" s="33" t="str">
        <f t="shared" si="39"/>
        <v>NO GANA</v>
      </c>
      <c r="T242" s="33" t="str">
        <f>VLOOKUP(B242,'CUOTA TOTAL'!$B$4:$F$72,5,FALSE)</f>
        <v>GANA</v>
      </c>
      <c r="U242" s="31">
        <f t="shared" si="42"/>
        <v>0</v>
      </c>
      <c r="V242" s="31">
        <f t="shared" si="38"/>
        <v>0</v>
      </c>
    </row>
    <row r="243" spans="1:22" ht="15" customHeight="1">
      <c r="A243" s="7" t="s">
        <v>49</v>
      </c>
      <c r="B243" s="51" t="s">
        <v>52</v>
      </c>
      <c r="C243" s="9" t="s">
        <v>163</v>
      </c>
      <c r="D243" s="8" t="s">
        <v>165</v>
      </c>
      <c r="E243" s="8" t="str">
        <f t="shared" si="40"/>
        <v>CARRILLO GALARZA MARCO ANTONIOBARRA</v>
      </c>
      <c r="F243" s="28">
        <v>3850</v>
      </c>
      <c r="G243" s="28">
        <v>3850</v>
      </c>
      <c r="H243" s="28">
        <v>3850</v>
      </c>
      <c r="I243" s="34">
        <f>SUM(F243:H243)</f>
        <v>11550</v>
      </c>
      <c r="J243" s="29">
        <v>1.4999999999999999E-2</v>
      </c>
      <c r="K243" s="30">
        <f t="shared" si="46"/>
        <v>173.25</v>
      </c>
      <c r="L243" s="31">
        <f t="shared" si="47"/>
        <v>190.57500000000002</v>
      </c>
      <c r="M243" s="32">
        <v>0</v>
      </c>
      <c r="N243" s="32">
        <v>0</v>
      </c>
      <c r="O243" s="32">
        <v>0</v>
      </c>
      <c r="P243" s="81">
        <v>0</v>
      </c>
      <c r="Q243" s="10">
        <f t="shared" si="44"/>
        <v>0</v>
      </c>
      <c r="R243" s="33">
        <f t="shared" si="43"/>
        <v>0</v>
      </c>
      <c r="S243" s="33" t="str">
        <f t="shared" si="39"/>
        <v>NO GANA</v>
      </c>
      <c r="T243" s="33" t="str">
        <f>VLOOKUP(B243,'CUOTA TOTAL'!$B$4:$F$72,5,FALSE)</f>
        <v>NO GANA</v>
      </c>
      <c r="U243" s="31">
        <f t="shared" si="42"/>
        <v>0</v>
      </c>
      <c r="V243" s="31">
        <f t="shared" si="38"/>
        <v>0</v>
      </c>
    </row>
    <row r="244" spans="1:22" ht="15" customHeight="1">
      <c r="A244" s="7" t="s">
        <v>49</v>
      </c>
      <c r="B244" s="51" t="s">
        <v>52</v>
      </c>
      <c r="C244" s="9" t="s">
        <v>163</v>
      </c>
      <c r="D244" s="8" t="s">
        <v>193</v>
      </c>
      <c r="E244" s="8" t="str">
        <f t="shared" si="40"/>
        <v>CARRILLO GALARZA MARCO ANTONIOCREMA</v>
      </c>
      <c r="F244" s="28">
        <v>400</v>
      </c>
      <c r="G244" s="28">
        <v>400</v>
      </c>
      <c r="H244" s="28">
        <v>400</v>
      </c>
      <c r="I244" s="34">
        <f t="shared" si="45"/>
        <v>1200</v>
      </c>
      <c r="J244" s="29">
        <v>1.4999999999999999E-2</v>
      </c>
      <c r="K244" s="30">
        <f t="shared" si="46"/>
        <v>18</v>
      </c>
      <c r="L244" s="31">
        <f t="shared" si="47"/>
        <v>19.8</v>
      </c>
      <c r="M244" s="32">
        <v>0</v>
      </c>
      <c r="N244" s="32">
        <v>0</v>
      </c>
      <c r="O244" s="32">
        <v>0</v>
      </c>
      <c r="P244" s="81">
        <v>0</v>
      </c>
      <c r="Q244" s="10">
        <f t="shared" si="44"/>
        <v>0</v>
      </c>
      <c r="R244" s="33">
        <f t="shared" si="43"/>
        <v>0</v>
      </c>
      <c r="S244" s="33" t="str">
        <f t="shared" si="39"/>
        <v>NO GANA</v>
      </c>
      <c r="T244" s="33" t="str">
        <f>VLOOKUP(B244,'CUOTA TOTAL'!$B$4:$F$72,5,FALSE)</f>
        <v>NO GANA</v>
      </c>
      <c r="U244" s="31">
        <f t="shared" si="42"/>
        <v>0</v>
      </c>
      <c r="V244" s="31">
        <f t="shared" si="38"/>
        <v>0</v>
      </c>
    </row>
    <row r="245" spans="1:22" ht="15" customHeight="1">
      <c r="A245" s="7" t="s">
        <v>49</v>
      </c>
      <c r="B245" s="51" t="s">
        <v>52</v>
      </c>
      <c r="C245" s="9" t="s">
        <v>163</v>
      </c>
      <c r="D245" s="8" t="s">
        <v>194</v>
      </c>
      <c r="E245" s="8" t="str">
        <f t="shared" si="40"/>
        <v>CARRILLO GALARZA MARCO ANTONIOLIQUIDO</v>
      </c>
      <c r="F245" s="28">
        <v>250</v>
      </c>
      <c r="G245" s="28">
        <v>250</v>
      </c>
      <c r="H245" s="28">
        <v>250</v>
      </c>
      <c r="I245" s="34">
        <f t="shared" si="45"/>
        <v>750</v>
      </c>
      <c r="J245" s="29">
        <v>1.4999999999999999E-2</v>
      </c>
      <c r="K245" s="30">
        <f t="shared" si="46"/>
        <v>11.25</v>
      </c>
      <c r="L245" s="31">
        <f t="shared" si="47"/>
        <v>12.375000000000002</v>
      </c>
      <c r="M245" s="32">
        <v>0</v>
      </c>
      <c r="N245" s="32">
        <v>0</v>
      </c>
      <c r="O245" s="32">
        <v>0</v>
      </c>
      <c r="P245" s="81">
        <v>0</v>
      </c>
      <c r="Q245" s="10">
        <f t="shared" si="44"/>
        <v>0</v>
      </c>
      <c r="R245" s="33">
        <f t="shared" si="43"/>
        <v>0</v>
      </c>
      <c r="S245" s="33" t="str">
        <f t="shared" si="39"/>
        <v>NO GANA</v>
      </c>
      <c r="T245" s="33" t="str">
        <f>VLOOKUP(B245,'CUOTA TOTAL'!$B$4:$F$72,5,FALSE)</f>
        <v>NO GANA</v>
      </c>
      <c r="U245" s="31">
        <f t="shared" si="42"/>
        <v>0</v>
      </c>
      <c r="V245" s="31">
        <f t="shared" si="38"/>
        <v>0</v>
      </c>
    </row>
    <row r="246" spans="1:22" ht="15" customHeight="1">
      <c r="A246" s="7" t="s">
        <v>49</v>
      </c>
      <c r="B246" s="51" t="s">
        <v>52</v>
      </c>
      <c r="C246" s="9" t="s">
        <v>163</v>
      </c>
      <c r="D246" s="8" t="s">
        <v>196</v>
      </c>
      <c r="E246" s="8" t="str">
        <f t="shared" si="40"/>
        <v>CARRILLO GALARZA MARCO ANTONIOPOLVO DETERGENTE</v>
      </c>
      <c r="F246" s="28">
        <v>8300</v>
      </c>
      <c r="G246" s="28">
        <v>8300</v>
      </c>
      <c r="H246" s="28">
        <v>8300</v>
      </c>
      <c r="I246" s="34">
        <f t="shared" si="45"/>
        <v>24900</v>
      </c>
      <c r="J246" s="29">
        <v>1.4999999999999999E-2</v>
      </c>
      <c r="K246" s="30">
        <f t="shared" si="46"/>
        <v>373.5</v>
      </c>
      <c r="L246" s="31">
        <f t="shared" si="47"/>
        <v>410.85</v>
      </c>
      <c r="M246" s="32">
        <v>0</v>
      </c>
      <c r="N246" s="32">
        <v>0</v>
      </c>
      <c r="O246" s="32">
        <v>0</v>
      </c>
      <c r="P246" s="81">
        <v>0</v>
      </c>
      <c r="Q246" s="10">
        <f t="shared" si="44"/>
        <v>0</v>
      </c>
      <c r="R246" s="33">
        <f t="shared" si="43"/>
        <v>0</v>
      </c>
      <c r="S246" s="33" t="str">
        <f t="shared" si="39"/>
        <v>NO GANA</v>
      </c>
      <c r="T246" s="33" t="str">
        <f>VLOOKUP(B246,'CUOTA TOTAL'!$B$4:$F$72,5,FALSE)</f>
        <v>NO GANA</v>
      </c>
      <c r="U246" s="31">
        <f t="shared" si="42"/>
        <v>0</v>
      </c>
      <c r="V246" s="31">
        <f t="shared" si="38"/>
        <v>0</v>
      </c>
    </row>
    <row r="247" spans="1:22" ht="15" customHeight="1">
      <c r="A247" s="7" t="s">
        <v>49</v>
      </c>
      <c r="B247" s="51" t="s">
        <v>52</v>
      </c>
      <c r="C247" s="9" t="s">
        <v>163</v>
      </c>
      <c r="D247" s="8" t="s">
        <v>197</v>
      </c>
      <c r="E247" s="8" t="str">
        <f t="shared" si="40"/>
        <v>CARRILLO GALARZA MARCO ANTONIOOTRAS CATEGORIAS</v>
      </c>
      <c r="F247" s="28">
        <v>60</v>
      </c>
      <c r="G247" s="28">
        <v>60</v>
      </c>
      <c r="H247" s="28">
        <v>60</v>
      </c>
      <c r="I247" s="34">
        <f t="shared" si="45"/>
        <v>180</v>
      </c>
      <c r="J247" s="69">
        <v>1.4999999999999999E-2</v>
      </c>
      <c r="K247" s="30">
        <f t="shared" si="46"/>
        <v>2.6999999999999997</v>
      </c>
      <c r="L247" s="31">
        <f t="shared" si="47"/>
        <v>2.97</v>
      </c>
      <c r="M247" s="32">
        <v>0</v>
      </c>
      <c r="N247" s="32">
        <v>0</v>
      </c>
      <c r="O247" s="32">
        <v>0</v>
      </c>
      <c r="P247" s="81">
        <v>0</v>
      </c>
      <c r="Q247" s="10">
        <f t="shared" si="44"/>
        <v>0</v>
      </c>
      <c r="R247" s="33">
        <f t="shared" si="43"/>
        <v>0</v>
      </c>
      <c r="S247" s="33" t="str">
        <f t="shared" si="39"/>
        <v>NO GANA</v>
      </c>
      <c r="T247" s="33" t="str">
        <f>VLOOKUP(B247,'CUOTA TOTAL'!$B$4:$F$72,5,FALSE)</f>
        <v>NO GANA</v>
      </c>
      <c r="U247" s="31">
        <f t="shared" si="42"/>
        <v>0</v>
      </c>
      <c r="V247" s="31">
        <f t="shared" si="38"/>
        <v>0</v>
      </c>
    </row>
    <row r="248" spans="1:22" ht="15" customHeight="1">
      <c r="A248" s="7" t="s">
        <v>33</v>
      </c>
      <c r="B248" s="51" t="s">
        <v>35</v>
      </c>
      <c r="C248" s="9" t="s">
        <v>135</v>
      </c>
      <c r="D248" s="8" t="s">
        <v>165</v>
      </c>
      <c r="E248" s="8" t="str">
        <f t="shared" si="40"/>
        <v>CAIVEL S.A.BARRA</v>
      </c>
      <c r="F248" s="34">
        <v>3479.37</v>
      </c>
      <c r="G248" s="34">
        <v>3479.37</v>
      </c>
      <c r="H248" s="34">
        <v>3479.37</v>
      </c>
      <c r="I248" s="34">
        <f t="shared" si="45"/>
        <v>10438.11</v>
      </c>
      <c r="J248" s="29">
        <v>1.4999999999999999E-2</v>
      </c>
      <c r="K248" s="30">
        <f t="shared" si="46"/>
        <v>156.57165000000001</v>
      </c>
      <c r="L248" s="31">
        <f t="shared" si="47"/>
        <v>172.22881500000003</v>
      </c>
      <c r="M248" s="32">
        <v>0</v>
      </c>
      <c r="N248" s="32">
        <v>6933.340799999999</v>
      </c>
      <c r="O248" s="32">
        <v>3136.6000000000004</v>
      </c>
      <c r="P248" s="81">
        <v>0</v>
      </c>
      <c r="Q248" s="10">
        <f t="shared" si="44"/>
        <v>10069.9408</v>
      </c>
      <c r="R248" s="33">
        <f t="shared" si="43"/>
        <v>0.96472836557576036</v>
      </c>
      <c r="S248" s="33" t="str">
        <f t="shared" si="39"/>
        <v>GANA</v>
      </c>
      <c r="T248" s="33" t="str">
        <f>VLOOKUP(B248,'CUOTA TOTAL'!$B$4:$F$72,5,FALSE)</f>
        <v>GANA</v>
      </c>
      <c r="U248" s="31">
        <f t="shared" si="42"/>
        <v>151.04911200000001</v>
      </c>
      <c r="V248" s="31">
        <f t="shared" si="38"/>
        <v>151.04911200000001</v>
      </c>
    </row>
    <row r="249" spans="1:22" ht="15" customHeight="1">
      <c r="A249" s="7" t="s">
        <v>33</v>
      </c>
      <c r="B249" s="51" t="s">
        <v>35</v>
      </c>
      <c r="C249" s="9" t="s">
        <v>135</v>
      </c>
      <c r="D249" s="8" t="s">
        <v>193</v>
      </c>
      <c r="E249" s="8" t="str">
        <f t="shared" si="40"/>
        <v>CAIVEL S.A.CREMA</v>
      </c>
      <c r="F249" s="34">
        <v>4414.84</v>
      </c>
      <c r="G249" s="34">
        <v>4414.84</v>
      </c>
      <c r="H249" s="34">
        <v>4414.84</v>
      </c>
      <c r="I249" s="34">
        <f t="shared" si="45"/>
        <v>13244.52</v>
      </c>
      <c r="J249" s="29">
        <v>3.5000000000000003E-2</v>
      </c>
      <c r="K249" s="30">
        <f t="shared" si="46"/>
        <v>463.55820000000006</v>
      </c>
      <c r="L249" s="31">
        <f t="shared" si="47"/>
        <v>509.91402000000011</v>
      </c>
      <c r="M249" s="32">
        <v>6850.9536000000016</v>
      </c>
      <c r="N249" s="32">
        <v>6508.7663999999995</v>
      </c>
      <c r="O249" s="32">
        <v>216.96</v>
      </c>
      <c r="P249" s="81">
        <v>0</v>
      </c>
      <c r="Q249" s="10">
        <f t="shared" si="44"/>
        <v>13576.68</v>
      </c>
      <c r="R249" s="33">
        <f t="shared" si="43"/>
        <v>1.0250790515624575</v>
      </c>
      <c r="S249" s="33" t="str">
        <f t="shared" si="39"/>
        <v>GANA</v>
      </c>
      <c r="T249" s="33" t="str">
        <f>VLOOKUP(B249,'CUOTA TOTAL'!$B$4:$F$72,5,FALSE)</f>
        <v>GANA</v>
      </c>
      <c r="U249" s="31">
        <f t="shared" si="42"/>
        <v>475.18380000000008</v>
      </c>
      <c r="V249" s="31">
        <f t="shared" ref="V249:V312" si="48">IF(U249&lt;=L249,U249,L249)</f>
        <v>475.18380000000008</v>
      </c>
    </row>
    <row r="250" spans="1:22" ht="15" customHeight="1">
      <c r="A250" s="7" t="s">
        <v>33</v>
      </c>
      <c r="B250" s="51" t="s">
        <v>35</v>
      </c>
      <c r="C250" s="9" t="s">
        <v>135</v>
      </c>
      <c r="D250" s="8" t="s">
        <v>194</v>
      </c>
      <c r="E250" s="8" t="str">
        <f t="shared" si="40"/>
        <v>CAIVEL S.A.LIQUIDO</v>
      </c>
      <c r="F250" s="34">
        <v>1470.88</v>
      </c>
      <c r="G250" s="34">
        <v>1470.88</v>
      </c>
      <c r="H250" s="34">
        <v>1470.88</v>
      </c>
      <c r="I250" s="34">
        <f t="shared" si="45"/>
        <v>4412.6400000000003</v>
      </c>
      <c r="J250" s="29">
        <v>1.4999999999999999E-2</v>
      </c>
      <c r="K250" s="30">
        <f t="shared" si="46"/>
        <v>66.189599999999999</v>
      </c>
      <c r="L250" s="31">
        <f t="shared" si="47"/>
        <v>72.80856</v>
      </c>
      <c r="M250" s="32">
        <v>1850.904</v>
      </c>
      <c r="N250" s="32">
        <v>906.91200000000015</v>
      </c>
      <c r="O250" s="32">
        <v>1948.32</v>
      </c>
      <c r="P250" s="81">
        <v>0</v>
      </c>
      <c r="Q250" s="10">
        <f t="shared" si="44"/>
        <v>4706.1360000000004</v>
      </c>
      <c r="R250" s="33">
        <f t="shared" si="43"/>
        <v>1.0665125639073207</v>
      </c>
      <c r="S250" s="33" t="str">
        <f t="shared" si="39"/>
        <v>GANA</v>
      </c>
      <c r="T250" s="33" t="str">
        <f>VLOOKUP(B250,'CUOTA TOTAL'!$B$4:$F$72,5,FALSE)</f>
        <v>GANA</v>
      </c>
      <c r="U250" s="31">
        <f t="shared" si="42"/>
        <v>70.592039999999997</v>
      </c>
      <c r="V250" s="31">
        <f t="shared" si="48"/>
        <v>70.592039999999997</v>
      </c>
    </row>
    <row r="251" spans="1:22" ht="15" customHeight="1">
      <c r="A251" s="7" t="s">
        <v>33</v>
      </c>
      <c r="B251" s="51" t="s">
        <v>35</v>
      </c>
      <c r="C251" s="9" t="s">
        <v>135</v>
      </c>
      <c r="D251" s="8" t="s">
        <v>196</v>
      </c>
      <c r="E251" s="8" t="str">
        <f t="shared" si="40"/>
        <v>CAIVEL S.A.POLVO DETERGENTE</v>
      </c>
      <c r="F251" s="34">
        <v>14841.31</v>
      </c>
      <c r="G251" s="34">
        <v>14841.31</v>
      </c>
      <c r="H251" s="34">
        <v>14841.31</v>
      </c>
      <c r="I251" s="34">
        <f t="shared" si="45"/>
        <v>44523.93</v>
      </c>
      <c r="J251" s="29">
        <v>4.4999999999999998E-2</v>
      </c>
      <c r="K251" s="30">
        <f t="shared" si="46"/>
        <v>2003.5768499999999</v>
      </c>
      <c r="L251" s="31">
        <f t="shared" si="47"/>
        <v>2203.9345350000003</v>
      </c>
      <c r="M251" s="32">
        <v>29666.076799999999</v>
      </c>
      <c r="N251" s="32">
        <v>16147.4048</v>
      </c>
      <c r="O251" s="32">
        <v>8907.1871999999985</v>
      </c>
      <c r="P251" s="81">
        <v>0</v>
      </c>
      <c r="Q251" s="10">
        <f t="shared" si="44"/>
        <v>54720.668799999999</v>
      </c>
      <c r="R251" s="33">
        <f t="shared" si="43"/>
        <v>1.2290170431945249</v>
      </c>
      <c r="S251" s="33" t="str">
        <f t="shared" si="39"/>
        <v>GANA</v>
      </c>
      <c r="T251" s="33" t="str">
        <f>VLOOKUP(B251,'CUOTA TOTAL'!$B$4:$F$72,5,FALSE)</f>
        <v>GANA</v>
      </c>
      <c r="U251" s="31">
        <f t="shared" si="42"/>
        <v>2462.430096</v>
      </c>
      <c r="V251" s="31">
        <f t="shared" si="48"/>
        <v>2203.9345350000003</v>
      </c>
    </row>
    <row r="252" spans="1:22" ht="15" customHeight="1">
      <c r="A252" s="7" t="s">
        <v>33</v>
      </c>
      <c r="B252" s="51" t="s">
        <v>35</v>
      </c>
      <c r="C252" s="9" t="s">
        <v>135</v>
      </c>
      <c r="D252" s="8" t="s">
        <v>197</v>
      </c>
      <c r="E252" s="8" t="str">
        <f t="shared" si="40"/>
        <v>CAIVEL S.A.OTRAS CATEGORIAS</v>
      </c>
      <c r="F252" s="34"/>
      <c r="G252" s="34"/>
      <c r="H252" s="34"/>
      <c r="I252" s="34">
        <f t="shared" si="45"/>
        <v>0</v>
      </c>
      <c r="J252" s="29"/>
      <c r="K252" s="30">
        <f t="shared" si="46"/>
        <v>0</v>
      </c>
      <c r="L252" s="31">
        <f t="shared" si="47"/>
        <v>0</v>
      </c>
      <c r="M252" s="32">
        <v>0</v>
      </c>
      <c r="N252" s="32">
        <v>0</v>
      </c>
      <c r="O252" s="32">
        <v>0</v>
      </c>
      <c r="P252" s="81">
        <v>0</v>
      </c>
      <c r="Q252" s="10">
        <f t="shared" si="44"/>
        <v>0</v>
      </c>
      <c r="R252" s="33">
        <f t="shared" si="43"/>
        <v>0</v>
      </c>
      <c r="S252" s="33" t="str">
        <f t="shared" ref="S252:S312" si="49">IF(R252&gt;=80%,"GANA","NO GANA")</f>
        <v>NO GANA</v>
      </c>
      <c r="T252" s="33" t="str">
        <f>VLOOKUP(B252,'CUOTA TOTAL'!$B$4:$F$72,5,FALSE)</f>
        <v>GANA</v>
      </c>
      <c r="U252" s="31">
        <f t="shared" si="42"/>
        <v>0</v>
      </c>
      <c r="V252" s="31">
        <f t="shared" si="48"/>
        <v>0</v>
      </c>
    </row>
    <row r="253" spans="1:22" ht="15" customHeight="1">
      <c r="A253" s="7" t="s">
        <v>109</v>
      </c>
      <c r="B253" s="51" t="s">
        <v>115</v>
      </c>
      <c r="C253" s="9" t="s">
        <v>135</v>
      </c>
      <c r="D253" s="8" t="s">
        <v>165</v>
      </c>
      <c r="E253" s="8" t="str">
        <f t="shared" si="40"/>
        <v>COMISARIATO ELSITIO C.L.BARRA</v>
      </c>
      <c r="F253" s="34">
        <v>1366</v>
      </c>
      <c r="G253" s="34">
        <v>1366</v>
      </c>
      <c r="H253" s="34">
        <v>1366</v>
      </c>
      <c r="I253" s="34">
        <f t="shared" si="45"/>
        <v>4098</v>
      </c>
      <c r="J253" s="29">
        <v>0.01</v>
      </c>
      <c r="K253" s="30">
        <f t="shared" si="46"/>
        <v>40.980000000000004</v>
      </c>
      <c r="L253" s="31">
        <f t="shared" si="47"/>
        <v>45.078000000000003</v>
      </c>
      <c r="M253" s="32">
        <v>0</v>
      </c>
      <c r="N253" s="32">
        <v>0</v>
      </c>
      <c r="O253" s="32">
        <v>0</v>
      </c>
      <c r="P253" s="81">
        <v>0</v>
      </c>
      <c r="Q253" s="10">
        <f t="shared" si="44"/>
        <v>0</v>
      </c>
      <c r="R253" s="33">
        <f t="shared" si="43"/>
        <v>0</v>
      </c>
      <c r="S253" s="33" t="str">
        <f t="shared" si="49"/>
        <v>NO GANA</v>
      </c>
      <c r="T253" s="33" t="str">
        <f>VLOOKUP(B253,'CUOTA TOTAL'!$B$4:$F$72,5,FALSE)</f>
        <v>GANA</v>
      </c>
      <c r="U253" s="31">
        <f t="shared" si="42"/>
        <v>0</v>
      </c>
      <c r="V253" s="31">
        <f t="shared" si="48"/>
        <v>0</v>
      </c>
    </row>
    <row r="254" spans="1:22" ht="15" customHeight="1">
      <c r="A254" s="7" t="s">
        <v>109</v>
      </c>
      <c r="B254" s="51" t="s">
        <v>115</v>
      </c>
      <c r="C254" s="9" t="s">
        <v>135</v>
      </c>
      <c r="D254" s="8" t="s">
        <v>193</v>
      </c>
      <c r="E254" s="8" t="str">
        <f t="shared" si="40"/>
        <v>COMISARIATO ELSITIO C.L.CREMA</v>
      </c>
      <c r="F254" s="34">
        <v>7267</v>
      </c>
      <c r="G254" s="34">
        <v>7267</v>
      </c>
      <c r="H254" s="34">
        <v>7267</v>
      </c>
      <c r="I254" s="34">
        <f t="shared" si="45"/>
        <v>21801</v>
      </c>
      <c r="J254" s="29">
        <v>0.01</v>
      </c>
      <c r="K254" s="30">
        <f t="shared" si="46"/>
        <v>218.01</v>
      </c>
      <c r="L254" s="31">
        <f t="shared" si="47"/>
        <v>239.81100000000004</v>
      </c>
      <c r="M254" s="32">
        <v>11427.1288</v>
      </c>
      <c r="N254" s="32">
        <v>21669.024000000001</v>
      </c>
      <c r="O254" s="32">
        <v>2712</v>
      </c>
      <c r="P254" s="81">
        <v>0</v>
      </c>
      <c r="Q254" s="10">
        <f t="shared" si="44"/>
        <v>35808.152800000003</v>
      </c>
      <c r="R254" s="33">
        <f t="shared" si="43"/>
        <v>1.6425004724553922</v>
      </c>
      <c r="S254" s="33" t="str">
        <f t="shared" si="49"/>
        <v>GANA</v>
      </c>
      <c r="T254" s="33" t="str">
        <f>VLOOKUP(B254,'CUOTA TOTAL'!$B$4:$F$72,5,FALSE)</f>
        <v>GANA</v>
      </c>
      <c r="U254" s="31">
        <f t="shared" si="42"/>
        <v>358.08152800000005</v>
      </c>
      <c r="V254" s="31">
        <f t="shared" si="48"/>
        <v>239.81100000000004</v>
      </c>
    </row>
    <row r="255" spans="1:22" ht="15" customHeight="1">
      <c r="A255" s="7" t="s">
        <v>109</v>
      </c>
      <c r="B255" s="51" t="s">
        <v>115</v>
      </c>
      <c r="C255" s="9" t="s">
        <v>135</v>
      </c>
      <c r="D255" s="8" t="s">
        <v>194</v>
      </c>
      <c r="E255" s="8" t="str">
        <f t="shared" si="40"/>
        <v>COMISARIATO ELSITIO C.L.LIQUIDO</v>
      </c>
      <c r="F255" s="34">
        <v>539</v>
      </c>
      <c r="G255" s="34">
        <v>539</v>
      </c>
      <c r="H255" s="34">
        <v>539</v>
      </c>
      <c r="I255" s="34">
        <f t="shared" si="45"/>
        <v>1617</v>
      </c>
      <c r="J255" s="29">
        <v>0.01</v>
      </c>
      <c r="K255" s="30">
        <f t="shared" si="46"/>
        <v>16.170000000000002</v>
      </c>
      <c r="L255" s="31">
        <f t="shared" si="47"/>
        <v>17.787000000000003</v>
      </c>
      <c r="M255" s="32">
        <v>0</v>
      </c>
      <c r="N255" s="32">
        <v>0</v>
      </c>
      <c r="O255" s="32">
        <v>0</v>
      </c>
      <c r="P255" s="81">
        <v>0</v>
      </c>
      <c r="Q255" s="10">
        <f t="shared" si="44"/>
        <v>0</v>
      </c>
      <c r="R255" s="33">
        <f t="shared" si="43"/>
        <v>0</v>
      </c>
      <c r="S255" s="33" t="str">
        <f t="shared" si="49"/>
        <v>NO GANA</v>
      </c>
      <c r="T255" s="33" t="str">
        <f>VLOOKUP(B255,'CUOTA TOTAL'!$B$4:$F$72,5,FALSE)</f>
        <v>GANA</v>
      </c>
      <c r="U255" s="31">
        <f t="shared" si="42"/>
        <v>0</v>
      </c>
      <c r="V255" s="31">
        <f t="shared" si="48"/>
        <v>0</v>
      </c>
    </row>
    <row r="256" spans="1:22" ht="15" customHeight="1">
      <c r="A256" s="7" t="s">
        <v>109</v>
      </c>
      <c r="B256" s="51" t="s">
        <v>115</v>
      </c>
      <c r="C256" s="9" t="s">
        <v>135</v>
      </c>
      <c r="D256" s="8" t="s">
        <v>196</v>
      </c>
      <c r="E256" s="8" t="str">
        <f t="shared" si="40"/>
        <v>COMISARIATO ELSITIO C.L.POLVO DETERGENTE</v>
      </c>
      <c r="F256" s="34">
        <v>4200</v>
      </c>
      <c r="G256" s="34">
        <v>4200</v>
      </c>
      <c r="H256" s="34">
        <v>4200</v>
      </c>
      <c r="I256" s="34">
        <f t="shared" si="45"/>
        <v>12600</v>
      </c>
      <c r="J256" s="29">
        <v>0.01</v>
      </c>
      <c r="K256" s="30">
        <f t="shared" si="46"/>
        <v>126</v>
      </c>
      <c r="L256" s="31">
        <f t="shared" si="47"/>
        <v>138.60000000000002</v>
      </c>
      <c r="M256" s="32">
        <v>13183.430400000001</v>
      </c>
      <c r="N256" s="32">
        <v>0</v>
      </c>
      <c r="O256" s="32">
        <v>0</v>
      </c>
      <c r="P256" s="81">
        <v>0</v>
      </c>
      <c r="Q256" s="10">
        <f t="shared" si="44"/>
        <v>13183.430400000001</v>
      </c>
      <c r="R256" s="33">
        <f t="shared" si="43"/>
        <v>1.0463040000000001</v>
      </c>
      <c r="S256" s="33" t="str">
        <f t="shared" si="49"/>
        <v>GANA</v>
      </c>
      <c r="T256" s="33" t="str">
        <f>VLOOKUP(B256,'CUOTA TOTAL'!$B$4:$F$72,5,FALSE)</f>
        <v>GANA</v>
      </c>
      <c r="U256" s="31">
        <f t="shared" si="42"/>
        <v>131.834304</v>
      </c>
      <c r="V256" s="31">
        <f t="shared" si="48"/>
        <v>131.834304</v>
      </c>
    </row>
    <row r="257" spans="1:22" ht="15" customHeight="1">
      <c r="A257" s="7" t="s">
        <v>109</v>
      </c>
      <c r="B257" s="51" t="s">
        <v>115</v>
      </c>
      <c r="C257" s="9" t="s">
        <v>135</v>
      </c>
      <c r="D257" s="8" t="s">
        <v>197</v>
      </c>
      <c r="E257" s="8" t="str">
        <f t="shared" si="40"/>
        <v>COMISARIATO ELSITIO C.L.OTRAS CATEGORIAS</v>
      </c>
      <c r="F257" s="34"/>
      <c r="G257" s="34"/>
      <c r="H257" s="34"/>
      <c r="I257" s="34"/>
      <c r="J257" s="29"/>
      <c r="K257" s="30">
        <f t="shared" ref="K257" si="50">+I257*J257</f>
        <v>0</v>
      </c>
      <c r="L257" s="31">
        <f t="shared" ref="L257" si="51">(I257*1.1)*J257</f>
        <v>0</v>
      </c>
      <c r="M257" s="32">
        <v>376.12800000000004</v>
      </c>
      <c r="N257" s="32">
        <v>0</v>
      </c>
      <c r="O257" s="32">
        <v>0</v>
      </c>
      <c r="P257" s="81">
        <v>0</v>
      </c>
      <c r="Q257" s="10">
        <f t="shared" si="44"/>
        <v>376.12800000000004</v>
      </c>
      <c r="R257" s="33">
        <f t="shared" si="43"/>
        <v>0</v>
      </c>
      <c r="S257" s="33" t="str">
        <f t="shared" si="49"/>
        <v>NO GANA</v>
      </c>
      <c r="T257" s="33" t="str">
        <f>VLOOKUP(B257,'CUOTA TOTAL'!$B$4:$F$72,5,FALSE)</f>
        <v>GANA</v>
      </c>
      <c r="U257" s="31">
        <f t="shared" si="42"/>
        <v>0</v>
      </c>
      <c r="V257" s="31">
        <f t="shared" si="48"/>
        <v>0</v>
      </c>
    </row>
    <row r="258" spans="1:22" ht="15" customHeight="1">
      <c r="A258" s="7" t="s">
        <v>109</v>
      </c>
      <c r="B258" s="51" t="s">
        <v>27</v>
      </c>
      <c r="C258" s="9" t="s">
        <v>135</v>
      </c>
      <c r="D258" s="8" t="s">
        <v>165</v>
      </c>
      <c r="E258" s="8" t="str">
        <f t="shared" si="40"/>
        <v>BUSTAMANTE RAMIRO OSWALDOBARRA</v>
      </c>
      <c r="F258" s="34">
        <v>93</v>
      </c>
      <c r="G258" s="34">
        <v>93</v>
      </c>
      <c r="H258" s="34">
        <v>93</v>
      </c>
      <c r="I258" s="34">
        <f t="shared" si="45"/>
        <v>279</v>
      </c>
      <c r="J258" s="29">
        <v>1.4999999999999999E-2</v>
      </c>
      <c r="K258" s="30">
        <f t="shared" ref="K258:K267" si="52">+I258*J258</f>
        <v>4.1849999999999996</v>
      </c>
      <c r="L258" s="31">
        <f t="shared" ref="L258:L267" si="53">(I258*1.1)*J258</f>
        <v>4.6035000000000004</v>
      </c>
      <c r="M258" s="32">
        <v>75.883199999999988</v>
      </c>
      <c r="N258" s="32">
        <v>227.64960000000002</v>
      </c>
      <c r="O258" s="32">
        <v>240.53280000000001</v>
      </c>
      <c r="P258" s="82">
        <v>0</v>
      </c>
      <c r="Q258" s="10">
        <f t="shared" si="44"/>
        <v>544.06560000000002</v>
      </c>
      <c r="R258" s="33">
        <f t="shared" si="43"/>
        <v>1.9500559139784948</v>
      </c>
      <c r="S258" s="33" t="str">
        <f t="shared" si="49"/>
        <v>GANA</v>
      </c>
      <c r="T258" s="33" t="str">
        <f>VLOOKUP(B258,'CUOTA TOTAL'!$B$4:$F$72,5,FALSE)</f>
        <v>NO GANA</v>
      </c>
      <c r="U258" s="31">
        <f t="shared" si="42"/>
        <v>0</v>
      </c>
      <c r="V258" s="31">
        <f t="shared" si="48"/>
        <v>0</v>
      </c>
    </row>
    <row r="259" spans="1:22" ht="15" customHeight="1">
      <c r="A259" s="7" t="s">
        <v>109</v>
      </c>
      <c r="B259" s="51" t="s">
        <v>27</v>
      </c>
      <c r="C259" s="9" t="s">
        <v>135</v>
      </c>
      <c r="D259" s="8" t="s">
        <v>193</v>
      </c>
      <c r="E259" s="8" t="str">
        <f t="shared" ref="E259:E312" si="54">_xlfn.CONCAT(B259,D259)</f>
        <v>BUSTAMANTE RAMIRO OSWALDOCREMA</v>
      </c>
      <c r="F259" s="34">
        <v>2191</v>
      </c>
      <c r="G259" s="34">
        <v>2191</v>
      </c>
      <c r="H259" s="34">
        <v>2191</v>
      </c>
      <c r="I259" s="34">
        <f t="shared" si="45"/>
        <v>6573</v>
      </c>
      <c r="J259" s="29">
        <v>1.4999999999999999E-2</v>
      </c>
      <c r="K259" s="30">
        <f t="shared" si="52"/>
        <v>98.594999999999999</v>
      </c>
      <c r="L259" s="31">
        <f t="shared" si="53"/>
        <v>108.4545</v>
      </c>
      <c r="M259" s="32">
        <v>542.4</v>
      </c>
      <c r="N259" s="32">
        <v>1084.8</v>
      </c>
      <c r="O259" s="32">
        <v>1938.0437999999997</v>
      </c>
      <c r="P259" s="82">
        <v>0</v>
      </c>
      <c r="Q259" s="10">
        <f t="shared" ref="Q259:Q261" si="55">SUM(M259:O259)</f>
        <v>3565.2437999999993</v>
      </c>
      <c r="R259" s="33">
        <f t="shared" si="43"/>
        <v>0.54240739388407111</v>
      </c>
      <c r="S259" s="33" t="str">
        <f t="shared" si="49"/>
        <v>NO GANA</v>
      </c>
      <c r="T259" s="33" t="str">
        <f>VLOOKUP(B259,'CUOTA TOTAL'!$B$4:$F$72,5,FALSE)</f>
        <v>NO GANA</v>
      </c>
      <c r="U259" s="31">
        <f t="shared" ref="U259:U312" si="56">IF(AND(T259="GANA",S259="GANA"),Q259*J259,0)</f>
        <v>0</v>
      </c>
      <c r="V259" s="31">
        <f t="shared" si="48"/>
        <v>0</v>
      </c>
    </row>
    <row r="260" spans="1:22" ht="15" customHeight="1">
      <c r="A260" s="7" t="s">
        <v>109</v>
      </c>
      <c r="B260" s="51" t="s">
        <v>27</v>
      </c>
      <c r="C260" s="9" t="s">
        <v>135</v>
      </c>
      <c r="D260" s="8" t="s">
        <v>194</v>
      </c>
      <c r="E260" s="8" t="str">
        <f t="shared" si="54"/>
        <v>BUSTAMANTE RAMIRO OSWALDOLIQUIDO</v>
      </c>
      <c r="F260" s="34">
        <v>33</v>
      </c>
      <c r="G260" s="34">
        <v>33</v>
      </c>
      <c r="H260" s="34">
        <v>33</v>
      </c>
      <c r="I260" s="34">
        <f t="shared" si="45"/>
        <v>99</v>
      </c>
      <c r="J260" s="29">
        <v>1.4999999999999999E-2</v>
      </c>
      <c r="K260" s="30">
        <f t="shared" si="52"/>
        <v>1.4849999999999999</v>
      </c>
      <c r="L260" s="31">
        <f t="shared" si="53"/>
        <v>1.6335</v>
      </c>
      <c r="M260" s="32">
        <v>0</v>
      </c>
      <c r="N260" s="32">
        <v>21.830400000000001</v>
      </c>
      <c r="O260" s="32">
        <v>97.416000000000011</v>
      </c>
      <c r="P260" s="82">
        <v>0</v>
      </c>
      <c r="Q260" s="10">
        <f t="shared" si="55"/>
        <v>119.24640000000001</v>
      </c>
      <c r="R260" s="33">
        <f t="shared" ref="R260:R312" si="57">IFERROR(+Q260/I260,0)</f>
        <v>1.204509090909091</v>
      </c>
      <c r="S260" s="33" t="str">
        <f t="shared" si="49"/>
        <v>GANA</v>
      </c>
      <c r="T260" s="33" t="str">
        <f>VLOOKUP(B260,'CUOTA TOTAL'!$B$4:$F$72,5,FALSE)</f>
        <v>NO GANA</v>
      </c>
      <c r="U260" s="31">
        <f t="shared" si="56"/>
        <v>0</v>
      </c>
      <c r="V260" s="31">
        <f t="shared" si="48"/>
        <v>0</v>
      </c>
    </row>
    <row r="261" spans="1:22" ht="15" customHeight="1">
      <c r="A261" s="7" t="s">
        <v>109</v>
      </c>
      <c r="B261" s="51" t="s">
        <v>27</v>
      </c>
      <c r="C261" s="9" t="s">
        <v>135</v>
      </c>
      <c r="D261" s="8" t="s">
        <v>196</v>
      </c>
      <c r="E261" s="8" t="str">
        <f t="shared" si="54"/>
        <v>BUSTAMANTE RAMIRO OSWALDOPOLVO DETERGENTE</v>
      </c>
      <c r="F261" s="34">
        <v>872</v>
      </c>
      <c r="G261" s="34">
        <v>872</v>
      </c>
      <c r="H261" s="34">
        <v>872</v>
      </c>
      <c r="I261" s="34">
        <f t="shared" si="45"/>
        <v>2616</v>
      </c>
      <c r="J261" s="29">
        <v>1.4999999999999999E-2</v>
      </c>
      <c r="K261" s="30">
        <f t="shared" si="52"/>
        <v>39.24</v>
      </c>
      <c r="L261" s="31">
        <f t="shared" si="53"/>
        <v>43.164000000000001</v>
      </c>
      <c r="M261" s="32">
        <v>0</v>
      </c>
      <c r="N261" s="32">
        <v>2496.7232000000004</v>
      </c>
      <c r="O261" s="32">
        <v>398.32319999999999</v>
      </c>
      <c r="P261" s="82">
        <v>0</v>
      </c>
      <c r="Q261" s="10">
        <f t="shared" si="55"/>
        <v>2895.0464000000002</v>
      </c>
      <c r="R261" s="33">
        <f t="shared" si="57"/>
        <v>1.1066691131498472</v>
      </c>
      <c r="S261" s="33" t="str">
        <f t="shared" si="49"/>
        <v>GANA</v>
      </c>
      <c r="T261" s="33" t="str">
        <f>VLOOKUP(B261,'CUOTA TOTAL'!$B$4:$F$72,5,FALSE)</f>
        <v>NO GANA</v>
      </c>
      <c r="U261" s="31">
        <f t="shared" si="56"/>
        <v>0</v>
      </c>
      <c r="V261" s="31">
        <f t="shared" si="48"/>
        <v>0</v>
      </c>
    </row>
    <row r="262" spans="1:22" ht="15" customHeight="1">
      <c r="A262" s="7" t="s">
        <v>109</v>
      </c>
      <c r="B262" s="51" t="s">
        <v>27</v>
      </c>
      <c r="C262" s="9" t="s">
        <v>135</v>
      </c>
      <c r="D262" s="8" t="s">
        <v>197</v>
      </c>
      <c r="E262" s="8" t="str">
        <f t="shared" si="54"/>
        <v>BUSTAMANTE RAMIRO OSWALDOOTRAS CATEGORIAS</v>
      </c>
      <c r="F262" s="34"/>
      <c r="G262" s="34"/>
      <c r="H262" s="34"/>
      <c r="I262" s="34">
        <f t="shared" si="45"/>
        <v>0</v>
      </c>
      <c r="J262" s="29"/>
      <c r="K262" s="30">
        <f t="shared" si="52"/>
        <v>0</v>
      </c>
      <c r="L262" s="31">
        <f t="shared" si="53"/>
        <v>0</v>
      </c>
      <c r="M262" s="32">
        <v>0</v>
      </c>
      <c r="N262" s="32">
        <v>0</v>
      </c>
      <c r="O262" s="32">
        <v>47.015999999999998</v>
      </c>
      <c r="P262" s="82">
        <v>0</v>
      </c>
      <c r="Q262" s="10">
        <f t="shared" ref="Q262:Q312" si="58">SUM(M262:O262)</f>
        <v>47.015999999999998</v>
      </c>
      <c r="R262" s="33">
        <f t="shared" si="57"/>
        <v>0</v>
      </c>
      <c r="S262" s="33" t="str">
        <f t="shared" si="49"/>
        <v>NO GANA</v>
      </c>
      <c r="T262" s="33" t="str">
        <f>VLOOKUP(B262,'CUOTA TOTAL'!$B$4:$F$72,5,FALSE)</f>
        <v>NO GANA</v>
      </c>
      <c r="U262" s="31">
        <f t="shared" si="56"/>
        <v>0</v>
      </c>
      <c r="V262" s="31">
        <f t="shared" si="48"/>
        <v>0</v>
      </c>
    </row>
    <row r="263" spans="1:22" ht="15" customHeight="1">
      <c r="A263" s="7" t="s">
        <v>33</v>
      </c>
      <c r="B263" s="51" t="s">
        <v>43</v>
      </c>
      <c r="C263" s="9" t="s">
        <v>135</v>
      </c>
      <c r="D263" s="8" t="s">
        <v>165</v>
      </c>
      <c r="E263" s="8" t="str">
        <f t="shared" si="54"/>
        <v>LOMBEIDA GONZALEZ JENNY SILVANABARRA</v>
      </c>
      <c r="F263" s="34">
        <v>631.66</v>
      </c>
      <c r="G263" s="34">
        <v>631.66</v>
      </c>
      <c r="H263" s="34">
        <v>631.66</v>
      </c>
      <c r="I263" s="34">
        <f>+F263+G263+H263</f>
        <v>1894.98</v>
      </c>
      <c r="J263" s="29">
        <v>1.4999999999999999E-2</v>
      </c>
      <c r="K263" s="30">
        <f t="shared" si="52"/>
        <v>28.424699999999998</v>
      </c>
      <c r="L263" s="31">
        <f t="shared" si="53"/>
        <v>31.26717</v>
      </c>
      <c r="M263" s="32">
        <v>0</v>
      </c>
      <c r="N263" s="32">
        <v>0</v>
      </c>
      <c r="O263" s="32">
        <v>447.64800000000002</v>
      </c>
      <c r="P263" s="81">
        <v>0</v>
      </c>
      <c r="Q263" s="10">
        <f t="shared" si="58"/>
        <v>447.64800000000002</v>
      </c>
      <c r="R263" s="33">
        <f t="shared" si="57"/>
        <v>0.23622835069499415</v>
      </c>
      <c r="S263" s="33" t="str">
        <f t="shared" si="49"/>
        <v>NO GANA</v>
      </c>
      <c r="T263" s="33" t="str">
        <f>VLOOKUP(B263,'CUOTA TOTAL'!$B$4:$F$72,5,FALSE)</f>
        <v>NO GANA</v>
      </c>
      <c r="U263" s="31">
        <f t="shared" si="56"/>
        <v>0</v>
      </c>
      <c r="V263" s="31">
        <f t="shared" si="48"/>
        <v>0</v>
      </c>
    </row>
    <row r="264" spans="1:22" ht="15" customHeight="1">
      <c r="A264" s="7" t="s">
        <v>33</v>
      </c>
      <c r="B264" s="51" t="s">
        <v>43</v>
      </c>
      <c r="C264" s="9" t="s">
        <v>135</v>
      </c>
      <c r="D264" s="8" t="s">
        <v>193</v>
      </c>
      <c r="E264" s="8" t="str">
        <f t="shared" si="54"/>
        <v>LOMBEIDA GONZALEZ JENNY SILVANACREMA</v>
      </c>
      <c r="F264" s="34">
        <v>1022</v>
      </c>
      <c r="G264" s="34">
        <v>1022</v>
      </c>
      <c r="H264" s="34">
        <v>1022</v>
      </c>
      <c r="I264" s="34">
        <f>+F264+G264+H264</f>
        <v>3066</v>
      </c>
      <c r="J264" s="29">
        <v>3.5000000000000003E-2</v>
      </c>
      <c r="K264" s="30">
        <f t="shared" si="52"/>
        <v>107.31000000000002</v>
      </c>
      <c r="L264" s="31">
        <f t="shared" si="53"/>
        <v>118.04100000000003</v>
      </c>
      <c r="M264" s="32">
        <v>0</v>
      </c>
      <c r="N264" s="32">
        <v>0</v>
      </c>
      <c r="O264" s="32">
        <v>1346.8163999999997</v>
      </c>
      <c r="P264" s="81">
        <v>0</v>
      </c>
      <c r="Q264" s="10">
        <f t="shared" si="58"/>
        <v>1346.8163999999997</v>
      </c>
      <c r="R264" s="33">
        <f t="shared" si="57"/>
        <v>0.4392747553816046</v>
      </c>
      <c r="S264" s="33" t="str">
        <f t="shared" si="49"/>
        <v>NO GANA</v>
      </c>
      <c r="T264" s="33" t="str">
        <f>VLOOKUP(B264,'CUOTA TOTAL'!$B$4:$F$72,5,FALSE)</f>
        <v>NO GANA</v>
      </c>
      <c r="U264" s="31">
        <f t="shared" si="56"/>
        <v>0</v>
      </c>
      <c r="V264" s="31">
        <f t="shared" si="48"/>
        <v>0</v>
      </c>
    </row>
    <row r="265" spans="1:22" ht="15" customHeight="1">
      <c r="A265" s="7" t="s">
        <v>33</v>
      </c>
      <c r="B265" s="51" t="s">
        <v>43</v>
      </c>
      <c r="C265" s="9" t="s">
        <v>135</v>
      </c>
      <c r="D265" s="8" t="s">
        <v>194</v>
      </c>
      <c r="E265" s="8" t="str">
        <f t="shared" si="54"/>
        <v>LOMBEIDA GONZALEZ JENNY SILVANALIQUIDO</v>
      </c>
      <c r="F265" s="34">
        <v>200</v>
      </c>
      <c r="G265" s="34">
        <v>200</v>
      </c>
      <c r="H265" s="34">
        <v>200</v>
      </c>
      <c r="I265" s="34">
        <f>+F265+G265+H265</f>
        <v>600</v>
      </c>
      <c r="J265" s="29">
        <v>1.4999999999999999E-2</v>
      </c>
      <c r="K265" s="30">
        <f t="shared" si="52"/>
        <v>9</v>
      </c>
      <c r="L265" s="31">
        <f t="shared" si="53"/>
        <v>9.9</v>
      </c>
      <c r="M265" s="32">
        <v>0</v>
      </c>
      <c r="N265" s="32">
        <v>0</v>
      </c>
      <c r="O265" s="32">
        <v>207.05279999999999</v>
      </c>
      <c r="P265" s="81">
        <v>0</v>
      </c>
      <c r="Q265" s="10">
        <f t="shared" si="58"/>
        <v>207.05279999999999</v>
      </c>
      <c r="R265" s="33">
        <f t="shared" si="57"/>
        <v>0.34508800000000001</v>
      </c>
      <c r="S265" s="33" t="str">
        <f t="shared" si="49"/>
        <v>NO GANA</v>
      </c>
      <c r="T265" s="33" t="str">
        <f>VLOOKUP(B265,'CUOTA TOTAL'!$B$4:$F$72,5,FALSE)</f>
        <v>NO GANA</v>
      </c>
      <c r="U265" s="31">
        <f t="shared" si="56"/>
        <v>0</v>
      </c>
      <c r="V265" s="31">
        <f t="shared" si="48"/>
        <v>0</v>
      </c>
    </row>
    <row r="266" spans="1:22" ht="15" customHeight="1">
      <c r="A266" s="7" t="s">
        <v>33</v>
      </c>
      <c r="B266" s="51" t="s">
        <v>43</v>
      </c>
      <c r="C266" s="9" t="s">
        <v>135</v>
      </c>
      <c r="D266" s="8" t="s">
        <v>196</v>
      </c>
      <c r="E266" s="8" t="str">
        <f t="shared" si="54"/>
        <v>LOMBEIDA GONZALEZ JENNY SILVANAPOLVO DETERGENTE</v>
      </c>
      <c r="F266" s="34">
        <v>852.75</v>
      </c>
      <c r="G266" s="34">
        <v>852.75</v>
      </c>
      <c r="H266" s="34">
        <v>852.75</v>
      </c>
      <c r="I266" s="34">
        <f>+F266+G266+H266</f>
        <v>2558.25</v>
      </c>
      <c r="J266" s="29">
        <v>4.4999999999999998E-2</v>
      </c>
      <c r="K266" s="30">
        <f t="shared" si="52"/>
        <v>115.12124999999999</v>
      </c>
      <c r="L266" s="31">
        <f t="shared" si="53"/>
        <v>126.633375</v>
      </c>
      <c r="M266" s="32">
        <v>0</v>
      </c>
      <c r="N266" s="32">
        <v>0</v>
      </c>
      <c r="O266" s="32">
        <v>586.88599999999997</v>
      </c>
      <c r="P266" s="81">
        <v>0</v>
      </c>
      <c r="Q266" s="10">
        <f t="shared" si="58"/>
        <v>586.88599999999997</v>
      </c>
      <c r="R266" s="33">
        <f t="shared" si="57"/>
        <v>0.22940916642235903</v>
      </c>
      <c r="S266" s="33" t="str">
        <f t="shared" si="49"/>
        <v>NO GANA</v>
      </c>
      <c r="T266" s="33" t="str">
        <f>VLOOKUP(B266,'CUOTA TOTAL'!$B$4:$F$72,5,FALSE)</f>
        <v>NO GANA</v>
      </c>
      <c r="U266" s="31">
        <f t="shared" si="56"/>
        <v>0</v>
      </c>
      <c r="V266" s="31">
        <f t="shared" si="48"/>
        <v>0</v>
      </c>
    </row>
    <row r="267" spans="1:22" ht="15" customHeight="1">
      <c r="A267" s="7" t="s">
        <v>33</v>
      </c>
      <c r="B267" s="51" t="s">
        <v>43</v>
      </c>
      <c r="C267" s="9" t="s">
        <v>135</v>
      </c>
      <c r="D267" s="8" t="s">
        <v>197</v>
      </c>
      <c r="E267" s="8" t="str">
        <f t="shared" si="54"/>
        <v>LOMBEIDA GONZALEZ JENNY SILVANAOTRAS CATEGORIAS</v>
      </c>
      <c r="F267" s="34"/>
      <c r="G267" s="34"/>
      <c r="H267" s="34"/>
      <c r="I267" s="34">
        <f>+F267+G267+H267</f>
        <v>0</v>
      </c>
      <c r="J267" s="29"/>
      <c r="K267" s="30">
        <f t="shared" si="52"/>
        <v>0</v>
      </c>
      <c r="L267" s="31">
        <f t="shared" si="53"/>
        <v>0</v>
      </c>
      <c r="M267" s="32">
        <v>0</v>
      </c>
      <c r="N267" s="32">
        <v>0</v>
      </c>
      <c r="O267" s="32">
        <v>0</v>
      </c>
      <c r="P267" s="81">
        <v>0</v>
      </c>
      <c r="Q267" s="10">
        <f t="shared" si="58"/>
        <v>0</v>
      </c>
      <c r="R267" s="33">
        <f t="shared" si="57"/>
        <v>0</v>
      </c>
      <c r="S267" s="33" t="str">
        <f t="shared" si="49"/>
        <v>NO GANA</v>
      </c>
      <c r="T267" s="33" t="str">
        <f>VLOOKUP(B267,'CUOTA TOTAL'!$B$4:$F$72,5,FALSE)</f>
        <v>NO GANA</v>
      </c>
      <c r="U267" s="31">
        <f t="shared" si="56"/>
        <v>0</v>
      </c>
      <c r="V267" s="31">
        <f t="shared" si="48"/>
        <v>0</v>
      </c>
    </row>
    <row r="268" spans="1:22" ht="15" customHeight="1">
      <c r="A268" s="7" t="s">
        <v>33</v>
      </c>
      <c r="B268" s="51" t="s">
        <v>117</v>
      </c>
      <c r="C268" s="9" t="s">
        <v>135</v>
      </c>
      <c r="D268" s="8" t="s">
        <v>165</v>
      </c>
      <c r="E268" s="8" t="str">
        <f t="shared" si="54"/>
        <v>BRAVO MORETA DORIS VANESSA (SUPER DESPENSA POLITA)BARRA</v>
      </c>
      <c r="F268" s="28">
        <v>1744.75</v>
      </c>
      <c r="G268" s="28">
        <v>1744.75</v>
      </c>
      <c r="H268" s="28">
        <v>1744.75</v>
      </c>
      <c r="I268" s="34">
        <f t="shared" si="45"/>
        <v>5234.25</v>
      </c>
      <c r="J268" s="29">
        <v>1.4999999999999999E-2</v>
      </c>
      <c r="K268" s="30">
        <f t="shared" ref="K268:K312" si="59">+I268*J268</f>
        <v>78.513750000000002</v>
      </c>
      <c r="L268" s="31">
        <f t="shared" ref="L268:L312" si="60">(I268*1.1)*J268</f>
        <v>86.365125000000006</v>
      </c>
      <c r="M268" s="32">
        <v>1438.1828</v>
      </c>
      <c r="N268" s="32">
        <v>4743.756800000001</v>
      </c>
      <c r="O268" s="32">
        <v>0</v>
      </c>
      <c r="P268" s="81">
        <v>0</v>
      </c>
      <c r="Q268" s="10">
        <f t="shared" si="58"/>
        <v>6181.9396000000015</v>
      </c>
      <c r="R268" s="33">
        <f t="shared" si="57"/>
        <v>1.1810554711754313</v>
      </c>
      <c r="S268" s="33" t="str">
        <f t="shared" si="49"/>
        <v>GANA</v>
      </c>
      <c r="T268" s="33" t="str">
        <f>VLOOKUP(B268,'CUOTA TOTAL'!$B$4:$F$72,5,FALSE)</f>
        <v>GANA</v>
      </c>
      <c r="U268" s="31">
        <f t="shared" si="56"/>
        <v>92.729094000000018</v>
      </c>
      <c r="V268" s="31">
        <f t="shared" si="48"/>
        <v>86.365125000000006</v>
      </c>
    </row>
    <row r="269" spans="1:22" ht="15" customHeight="1">
      <c r="A269" s="7" t="s">
        <v>33</v>
      </c>
      <c r="B269" s="51" t="s">
        <v>117</v>
      </c>
      <c r="C269" s="9" t="s">
        <v>135</v>
      </c>
      <c r="D269" s="8" t="s">
        <v>193</v>
      </c>
      <c r="E269" s="8" t="str">
        <f t="shared" si="54"/>
        <v>BRAVO MORETA DORIS VANESSA (SUPER DESPENSA POLITA)CREMA</v>
      </c>
      <c r="F269" s="28">
        <v>1758.42</v>
      </c>
      <c r="G269" s="28">
        <v>1758.42</v>
      </c>
      <c r="H269" s="28">
        <v>1758.42</v>
      </c>
      <c r="I269" s="34">
        <f t="shared" si="45"/>
        <v>5275.26</v>
      </c>
      <c r="J269" s="29">
        <v>3.5000000000000003E-2</v>
      </c>
      <c r="K269" s="30">
        <f t="shared" si="59"/>
        <v>184.63410000000002</v>
      </c>
      <c r="L269" s="31">
        <f t="shared" si="60"/>
        <v>203.09751000000006</v>
      </c>
      <c r="M269" s="32">
        <v>2673.8123999999993</v>
      </c>
      <c r="N269" s="32">
        <v>2359.7148000000002</v>
      </c>
      <c r="O269" s="32">
        <v>0</v>
      </c>
      <c r="P269" s="81">
        <v>17.948</v>
      </c>
      <c r="Q269" s="10">
        <f t="shared" si="58"/>
        <v>5033.5271999999995</v>
      </c>
      <c r="R269" s="33">
        <f t="shared" si="57"/>
        <v>0.95417613539427426</v>
      </c>
      <c r="S269" s="33" t="str">
        <f t="shared" si="49"/>
        <v>GANA</v>
      </c>
      <c r="T269" s="33" t="str">
        <f>VLOOKUP(B269,'CUOTA TOTAL'!$B$4:$F$72,5,FALSE)</f>
        <v>GANA</v>
      </c>
      <c r="U269" s="31">
        <f t="shared" si="56"/>
        <v>176.173452</v>
      </c>
      <c r="V269" s="31">
        <f t="shared" si="48"/>
        <v>176.173452</v>
      </c>
    </row>
    <row r="270" spans="1:22" ht="15" customHeight="1">
      <c r="A270" s="7" t="s">
        <v>33</v>
      </c>
      <c r="B270" s="51" t="s">
        <v>117</v>
      </c>
      <c r="C270" s="9" t="s">
        <v>135</v>
      </c>
      <c r="D270" s="8" t="s">
        <v>194</v>
      </c>
      <c r="E270" s="8" t="str">
        <f t="shared" si="54"/>
        <v>BRAVO MORETA DORIS VANESSA (SUPER DESPENSA POLITA)LIQUIDO</v>
      </c>
      <c r="F270" s="28">
        <v>1035.83</v>
      </c>
      <c r="G270" s="28">
        <v>1035.83</v>
      </c>
      <c r="H270" s="28">
        <v>1035.83</v>
      </c>
      <c r="I270" s="34">
        <f t="shared" si="45"/>
        <v>3107.49</v>
      </c>
      <c r="J270" s="29">
        <v>1.4999999999999999E-2</v>
      </c>
      <c r="K270" s="30">
        <f t="shared" si="59"/>
        <v>46.612349999999992</v>
      </c>
      <c r="L270" s="31">
        <f t="shared" si="60"/>
        <v>51.273584999999997</v>
      </c>
      <c r="M270" s="32">
        <v>1779.5375999999997</v>
      </c>
      <c r="N270" s="32">
        <v>877.82399999999984</v>
      </c>
      <c r="O270" s="32">
        <v>0</v>
      </c>
      <c r="P270" s="81">
        <v>17.948</v>
      </c>
      <c r="Q270" s="10">
        <f t="shared" si="58"/>
        <v>2657.3615999999993</v>
      </c>
      <c r="R270" s="33">
        <f t="shared" si="57"/>
        <v>0.85514727320120076</v>
      </c>
      <c r="S270" s="33" t="str">
        <f t="shared" si="49"/>
        <v>GANA</v>
      </c>
      <c r="T270" s="33" t="str">
        <f>VLOOKUP(B270,'CUOTA TOTAL'!$B$4:$F$72,5,FALSE)</f>
        <v>GANA</v>
      </c>
      <c r="U270" s="31">
        <f t="shared" si="56"/>
        <v>39.860423999999988</v>
      </c>
      <c r="V270" s="31">
        <f t="shared" si="48"/>
        <v>39.860423999999988</v>
      </c>
    </row>
    <row r="271" spans="1:22" ht="15" customHeight="1">
      <c r="A271" s="7" t="s">
        <v>33</v>
      </c>
      <c r="B271" s="51" t="s">
        <v>117</v>
      </c>
      <c r="C271" s="9" t="s">
        <v>135</v>
      </c>
      <c r="D271" s="8" t="s">
        <v>196</v>
      </c>
      <c r="E271" s="8" t="str">
        <f t="shared" si="54"/>
        <v>BRAVO MORETA DORIS VANESSA (SUPER DESPENSA POLITA)POLVO DETERGENTE</v>
      </c>
      <c r="F271" s="28">
        <v>4585.32</v>
      </c>
      <c r="G271" s="28">
        <v>4585.32</v>
      </c>
      <c r="H271" s="28">
        <v>4585.32</v>
      </c>
      <c r="I271" s="34">
        <f t="shared" ref="I271:I312" si="61">+F271+G271+H271</f>
        <v>13755.96</v>
      </c>
      <c r="J271" s="29">
        <v>4.4999999999999998E-2</v>
      </c>
      <c r="K271" s="30">
        <f t="shared" si="59"/>
        <v>619.01819999999998</v>
      </c>
      <c r="L271" s="31">
        <f t="shared" si="60"/>
        <v>680.92002000000002</v>
      </c>
      <c r="M271" s="32">
        <v>9082.5480000000007</v>
      </c>
      <c r="N271" s="32">
        <v>7625.4066000000003</v>
      </c>
      <c r="O271" s="32">
        <v>0</v>
      </c>
      <c r="P271" s="81">
        <v>17.948</v>
      </c>
      <c r="Q271" s="10">
        <f t="shared" si="58"/>
        <v>16707.954600000001</v>
      </c>
      <c r="R271" s="33">
        <f t="shared" si="57"/>
        <v>1.2145974981026408</v>
      </c>
      <c r="S271" s="33" t="str">
        <f t="shared" si="49"/>
        <v>GANA</v>
      </c>
      <c r="T271" s="33" t="str">
        <f>VLOOKUP(B271,'CUOTA TOTAL'!$B$4:$F$72,5,FALSE)</f>
        <v>GANA</v>
      </c>
      <c r="U271" s="31">
        <f t="shared" si="56"/>
        <v>751.85795700000006</v>
      </c>
      <c r="V271" s="31">
        <f t="shared" si="48"/>
        <v>680.92002000000002</v>
      </c>
    </row>
    <row r="272" spans="1:22" ht="15" customHeight="1">
      <c r="A272" s="7" t="s">
        <v>33</v>
      </c>
      <c r="B272" s="51" t="s">
        <v>117</v>
      </c>
      <c r="C272" s="9" t="s">
        <v>135</v>
      </c>
      <c r="D272" s="8" t="s">
        <v>197</v>
      </c>
      <c r="E272" s="8" t="str">
        <f t="shared" si="54"/>
        <v>BRAVO MORETA DORIS VANESSA (SUPER DESPENSA POLITA)OTRAS CATEGORIAS</v>
      </c>
      <c r="F272" s="28"/>
      <c r="G272" s="28"/>
      <c r="H272" s="28"/>
      <c r="I272" s="34">
        <f t="shared" si="61"/>
        <v>0</v>
      </c>
      <c r="J272" s="29"/>
      <c r="K272" s="30">
        <f t="shared" si="59"/>
        <v>0</v>
      </c>
      <c r="L272" s="31">
        <f t="shared" si="60"/>
        <v>0</v>
      </c>
      <c r="M272" s="32">
        <v>0</v>
      </c>
      <c r="N272" s="32">
        <v>0</v>
      </c>
      <c r="O272" s="32">
        <v>0</v>
      </c>
      <c r="P272" s="81">
        <v>17.948</v>
      </c>
      <c r="Q272" s="10">
        <f t="shared" si="58"/>
        <v>0</v>
      </c>
      <c r="R272" s="33">
        <f t="shared" si="57"/>
        <v>0</v>
      </c>
      <c r="S272" s="33" t="str">
        <f t="shared" si="49"/>
        <v>NO GANA</v>
      </c>
      <c r="T272" s="33" t="s">
        <v>201</v>
      </c>
      <c r="U272" s="31">
        <f t="shared" si="56"/>
        <v>0</v>
      </c>
      <c r="V272" s="31">
        <f t="shared" si="48"/>
        <v>0</v>
      </c>
    </row>
    <row r="273" spans="1:25" ht="15" customHeight="1">
      <c r="A273" s="7" t="s">
        <v>5</v>
      </c>
      <c r="B273" s="51" t="s">
        <v>9</v>
      </c>
      <c r="C273" s="9" t="s">
        <v>135</v>
      </c>
      <c r="D273" s="8" t="s">
        <v>165</v>
      </c>
      <c r="E273" s="8" t="str">
        <f t="shared" si="54"/>
        <v>BRAVO CEDEÑO NELSON RENEBARRA</v>
      </c>
      <c r="F273" s="28">
        <v>700</v>
      </c>
      <c r="G273" s="28">
        <v>700</v>
      </c>
      <c r="H273" s="28">
        <v>700</v>
      </c>
      <c r="I273" s="34">
        <f t="shared" si="61"/>
        <v>2100</v>
      </c>
      <c r="J273" s="29">
        <v>1.4999999999999999E-2</v>
      </c>
      <c r="K273" s="30">
        <f t="shared" si="59"/>
        <v>31.5</v>
      </c>
      <c r="L273" s="31">
        <f t="shared" si="60"/>
        <v>34.65</v>
      </c>
      <c r="M273" s="32">
        <v>1001.5855999999999</v>
      </c>
      <c r="N273" s="32">
        <v>387.59199999999998</v>
      </c>
      <c r="O273" s="32">
        <v>1643.1167999999998</v>
      </c>
      <c r="P273" s="81">
        <v>5448.33</v>
      </c>
      <c r="Q273" s="10">
        <f t="shared" si="58"/>
        <v>3032.2943999999998</v>
      </c>
      <c r="R273" s="33">
        <f t="shared" si="57"/>
        <v>1.4439497142857143</v>
      </c>
      <c r="S273" s="33" t="str">
        <f t="shared" si="49"/>
        <v>GANA</v>
      </c>
      <c r="T273" s="33" t="str">
        <f>VLOOKUP(B273,'CUOTA TOTAL'!$B$4:$F$72,5,FALSE)</f>
        <v>GANA</v>
      </c>
      <c r="U273" s="31">
        <f t="shared" si="56"/>
        <v>45.484415999999996</v>
      </c>
      <c r="V273" s="31">
        <f t="shared" si="48"/>
        <v>34.65</v>
      </c>
    </row>
    <row r="274" spans="1:25" ht="15" customHeight="1">
      <c r="A274" s="7" t="s">
        <v>5</v>
      </c>
      <c r="B274" s="51" t="s">
        <v>9</v>
      </c>
      <c r="C274" s="9" t="s">
        <v>135</v>
      </c>
      <c r="D274" s="8" t="s">
        <v>193</v>
      </c>
      <c r="E274" s="8" t="str">
        <f t="shared" si="54"/>
        <v>BRAVO CEDEÑO NELSON RENECREMA</v>
      </c>
      <c r="F274" s="28">
        <v>2517.7000000000003</v>
      </c>
      <c r="G274" s="28">
        <v>2517.7000000000003</v>
      </c>
      <c r="H274" s="28">
        <v>2517.7000000000003</v>
      </c>
      <c r="I274" s="34">
        <f t="shared" si="61"/>
        <v>7553.1</v>
      </c>
      <c r="J274" s="29">
        <v>3.5000000000000003E-2</v>
      </c>
      <c r="K274" s="30">
        <f t="shared" si="59"/>
        <v>264.35850000000005</v>
      </c>
      <c r="L274" s="31">
        <f t="shared" si="60"/>
        <v>290.79435000000007</v>
      </c>
      <c r="M274" s="32">
        <v>3227.670000000001</v>
      </c>
      <c r="N274" s="32">
        <v>1468.3199999999995</v>
      </c>
      <c r="O274" s="32">
        <v>2247.0996000000005</v>
      </c>
      <c r="P274" s="81">
        <v>5448.33</v>
      </c>
      <c r="Q274" s="10">
        <f t="shared" si="58"/>
        <v>6943.0896000000012</v>
      </c>
      <c r="R274" s="33">
        <f t="shared" si="57"/>
        <v>0.91923708146324035</v>
      </c>
      <c r="S274" s="33" t="str">
        <f t="shared" si="49"/>
        <v>GANA</v>
      </c>
      <c r="T274" s="33" t="str">
        <f>VLOOKUP(B274,'CUOTA TOTAL'!$B$4:$F$72,5,FALSE)</f>
        <v>GANA</v>
      </c>
      <c r="U274" s="31">
        <f t="shared" si="56"/>
        <v>243.00813600000006</v>
      </c>
      <c r="V274" s="31">
        <f t="shared" si="48"/>
        <v>243.00813600000006</v>
      </c>
    </row>
    <row r="275" spans="1:25" ht="15" customHeight="1">
      <c r="A275" s="7" t="s">
        <v>5</v>
      </c>
      <c r="B275" s="51" t="s">
        <v>9</v>
      </c>
      <c r="C275" s="9" t="s">
        <v>135</v>
      </c>
      <c r="D275" s="8" t="s">
        <v>194</v>
      </c>
      <c r="E275" s="8" t="str">
        <f t="shared" si="54"/>
        <v>BRAVO CEDEÑO NELSON RENELIQUIDO</v>
      </c>
      <c r="F275" s="28">
        <v>100</v>
      </c>
      <c r="G275" s="28">
        <v>100</v>
      </c>
      <c r="H275" s="28">
        <v>100</v>
      </c>
      <c r="I275" s="34">
        <f t="shared" si="61"/>
        <v>300</v>
      </c>
      <c r="J275" s="29">
        <v>1.4999999999999999E-2</v>
      </c>
      <c r="K275" s="30">
        <f t="shared" si="59"/>
        <v>4.5</v>
      </c>
      <c r="L275" s="31">
        <f t="shared" si="60"/>
        <v>4.95</v>
      </c>
      <c r="M275" s="32">
        <v>147.477</v>
      </c>
      <c r="N275" s="32">
        <v>0</v>
      </c>
      <c r="O275" s="32">
        <v>130.98240000000001</v>
      </c>
      <c r="P275" s="81">
        <v>5448.33</v>
      </c>
      <c r="Q275" s="10">
        <f t="shared" si="58"/>
        <v>278.45940000000002</v>
      </c>
      <c r="R275" s="33">
        <f t="shared" si="57"/>
        <v>0.92819800000000008</v>
      </c>
      <c r="S275" s="33" t="str">
        <f t="shared" si="49"/>
        <v>GANA</v>
      </c>
      <c r="T275" s="33" t="str">
        <f>VLOOKUP(B275,'CUOTA TOTAL'!$B$4:$F$72,5,FALSE)</f>
        <v>GANA</v>
      </c>
      <c r="U275" s="31">
        <f t="shared" si="56"/>
        <v>4.1768910000000004</v>
      </c>
      <c r="V275" s="31">
        <f t="shared" si="48"/>
        <v>4.1768910000000004</v>
      </c>
    </row>
    <row r="276" spans="1:25" ht="15" customHeight="1">
      <c r="A276" s="7" t="s">
        <v>5</v>
      </c>
      <c r="B276" s="51" t="s">
        <v>9</v>
      </c>
      <c r="C276" s="9" t="s">
        <v>135</v>
      </c>
      <c r="D276" s="8" t="s">
        <v>196</v>
      </c>
      <c r="E276" s="8" t="str">
        <f t="shared" si="54"/>
        <v>BRAVO CEDEÑO NELSON RENEPOLVO DETERGENTE</v>
      </c>
      <c r="F276" s="28">
        <v>3070.5400000000004</v>
      </c>
      <c r="G276" s="28">
        <v>3070.5400000000004</v>
      </c>
      <c r="H276" s="28">
        <v>3070.5400000000004</v>
      </c>
      <c r="I276" s="34">
        <f t="shared" si="61"/>
        <v>9211.6200000000008</v>
      </c>
      <c r="J276" s="29">
        <v>4.4999999999999998E-2</v>
      </c>
      <c r="K276" s="30">
        <f t="shared" si="59"/>
        <v>414.52289999999999</v>
      </c>
      <c r="L276" s="31">
        <f t="shared" si="60"/>
        <v>455.97519000000005</v>
      </c>
      <c r="M276" s="32">
        <v>6201.2679999999982</v>
      </c>
      <c r="N276" s="32">
        <v>2881.7647999999999</v>
      </c>
      <c r="O276" s="32">
        <v>2624.6400000000003</v>
      </c>
      <c r="P276" s="81">
        <v>5448.33</v>
      </c>
      <c r="Q276" s="10">
        <f t="shared" si="58"/>
        <v>11707.672799999997</v>
      </c>
      <c r="R276" s="33">
        <f t="shared" si="57"/>
        <v>1.2709678427898672</v>
      </c>
      <c r="S276" s="33" t="str">
        <f t="shared" si="49"/>
        <v>GANA</v>
      </c>
      <c r="T276" s="33" t="str">
        <f>VLOOKUP(B276,'CUOTA TOTAL'!$B$4:$F$72,5,FALSE)</f>
        <v>GANA</v>
      </c>
      <c r="U276" s="31">
        <f t="shared" si="56"/>
        <v>526.84527599999979</v>
      </c>
      <c r="V276" s="31">
        <f t="shared" si="48"/>
        <v>455.97519000000005</v>
      </c>
    </row>
    <row r="277" spans="1:25" ht="15" customHeight="1">
      <c r="A277" s="7" t="s">
        <v>5</v>
      </c>
      <c r="B277" s="51" t="s">
        <v>9</v>
      </c>
      <c r="C277" s="9" t="s">
        <v>135</v>
      </c>
      <c r="D277" s="8" t="s">
        <v>197</v>
      </c>
      <c r="E277" s="8" t="str">
        <f t="shared" si="54"/>
        <v>BRAVO CEDEÑO NELSON RENEOTRAS CATEGORIAS</v>
      </c>
      <c r="F277" s="28">
        <v>10</v>
      </c>
      <c r="G277" s="28">
        <v>10</v>
      </c>
      <c r="H277" s="28">
        <v>10</v>
      </c>
      <c r="I277" s="34">
        <f t="shared" si="61"/>
        <v>30</v>
      </c>
      <c r="J277" s="29"/>
      <c r="K277" s="30">
        <f t="shared" si="59"/>
        <v>0</v>
      </c>
      <c r="L277" s="31">
        <f t="shared" si="60"/>
        <v>0</v>
      </c>
      <c r="M277" s="32">
        <v>0</v>
      </c>
      <c r="N277" s="32">
        <v>0</v>
      </c>
      <c r="O277" s="32">
        <v>0</v>
      </c>
      <c r="P277" s="81">
        <v>5448.33</v>
      </c>
      <c r="Q277" s="10">
        <f t="shared" si="58"/>
        <v>0</v>
      </c>
      <c r="R277" s="33">
        <f t="shared" si="57"/>
        <v>0</v>
      </c>
      <c r="S277" s="33" t="str">
        <f t="shared" si="49"/>
        <v>NO GANA</v>
      </c>
      <c r="T277" s="33" t="str">
        <f>VLOOKUP(B277,'CUOTA TOTAL'!$B$4:$F$72,5,FALSE)</f>
        <v>GANA</v>
      </c>
      <c r="U277" s="31">
        <f t="shared" si="56"/>
        <v>0</v>
      </c>
      <c r="V277" s="31">
        <f t="shared" si="48"/>
        <v>0</v>
      </c>
    </row>
    <row r="278" spans="1:25" ht="15" customHeight="1">
      <c r="A278" s="7" t="s">
        <v>5</v>
      </c>
      <c r="B278" s="51" t="s">
        <v>8</v>
      </c>
      <c r="C278" s="9" t="s">
        <v>135</v>
      </c>
      <c r="D278" s="8" t="s">
        <v>165</v>
      </c>
      <c r="E278" s="8" t="str">
        <f t="shared" si="54"/>
        <v>AVEIGA FALCONES DANY MARONBARRA</v>
      </c>
      <c r="F278" s="28">
        <v>1337</v>
      </c>
      <c r="G278" s="28">
        <v>1337</v>
      </c>
      <c r="H278" s="28">
        <v>1337</v>
      </c>
      <c r="I278" s="34">
        <f t="shared" si="61"/>
        <v>4011</v>
      </c>
      <c r="J278" s="29">
        <v>1.4999999999999999E-2</v>
      </c>
      <c r="K278" s="30">
        <f t="shared" si="59"/>
        <v>60.164999999999999</v>
      </c>
      <c r="L278" s="31">
        <f t="shared" si="60"/>
        <v>66.1815</v>
      </c>
      <c r="M278" s="32">
        <v>0.73460000000000003</v>
      </c>
      <c r="N278" s="32">
        <v>0.503</v>
      </c>
      <c r="O278" s="32">
        <v>4009.8144000000002</v>
      </c>
      <c r="P278" s="83">
        <v>0</v>
      </c>
      <c r="Q278" s="10">
        <f t="shared" si="58"/>
        <v>4011.0520000000001</v>
      </c>
      <c r="R278" s="33">
        <f t="shared" si="57"/>
        <v>1.0000129643480429</v>
      </c>
      <c r="S278" s="33" t="str">
        <f t="shared" si="49"/>
        <v>GANA</v>
      </c>
      <c r="T278" s="33" t="str">
        <f>VLOOKUP(B278,'CUOTA TOTAL'!$B$4:$F$72,5,FALSE)</f>
        <v>GANA</v>
      </c>
      <c r="U278" s="31">
        <f t="shared" si="56"/>
        <v>60.165779999999998</v>
      </c>
      <c r="V278" s="31">
        <f t="shared" si="48"/>
        <v>60.165779999999998</v>
      </c>
      <c r="Y278" t="s">
        <v>202</v>
      </c>
    </row>
    <row r="279" spans="1:25" ht="15" customHeight="1">
      <c r="A279" s="7" t="s">
        <v>5</v>
      </c>
      <c r="B279" s="51" t="s">
        <v>8</v>
      </c>
      <c r="C279" s="9" t="s">
        <v>135</v>
      </c>
      <c r="D279" s="8" t="s">
        <v>193</v>
      </c>
      <c r="E279" s="8" t="str">
        <f t="shared" si="54"/>
        <v>AVEIGA FALCONES DANY MARONCREMA</v>
      </c>
      <c r="F279" s="28">
        <v>2700</v>
      </c>
      <c r="G279" s="28">
        <v>2700</v>
      </c>
      <c r="H279" s="28">
        <v>2700</v>
      </c>
      <c r="I279" s="34">
        <f t="shared" si="61"/>
        <v>8100</v>
      </c>
      <c r="J279" s="29">
        <v>3.5000000000000003E-2</v>
      </c>
      <c r="K279" s="30">
        <f t="shared" si="59"/>
        <v>283.5</v>
      </c>
      <c r="L279" s="31">
        <f t="shared" si="60"/>
        <v>311.85000000000002</v>
      </c>
      <c r="M279" s="32">
        <v>0.73499999999999999</v>
      </c>
      <c r="N279" s="32">
        <v>0.73499999999999999</v>
      </c>
      <c r="O279" s="32">
        <v>6883.8048000000017</v>
      </c>
      <c r="P279" s="83">
        <v>0</v>
      </c>
      <c r="Q279" s="10">
        <f t="shared" si="58"/>
        <v>6885.274800000002</v>
      </c>
      <c r="R279" s="33">
        <f t="shared" si="57"/>
        <v>0.85003392592592619</v>
      </c>
      <c r="S279" s="33" t="str">
        <f t="shared" si="49"/>
        <v>GANA</v>
      </c>
      <c r="T279" s="33" t="str">
        <f>VLOOKUP(B279,'CUOTA TOTAL'!$B$4:$F$72,5,FALSE)</f>
        <v>GANA</v>
      </c>
      <c r="U279" s="31">
        <f t="shared" si="56"/>
        <v>240.9846180000001</v>
      </c>
      <c r="V279" s="31">
        <f t="shared" si="48"/>
        <v>240.9846180000001</v>
      </c>
      <c r="Y279" t="s">
        <v>202</v>
      </c>
    </row>
    <row r="280" spans="1:25" ht="15" customHeight="1">
      <c r="A280" s="7" t="s">
        <v>5</v>
      </c>
      <c r="B280" s="51" t="s">
        <v>8</v>
      </c>
      <c r="C280" s="9" t="s">
        <v>135</v>
      </c>
      <c r="D280" s="8" t="s">
        <v>194</v>
      </c>
      <c r="E280" s="8" t="str">
        <f t="shared" si="54"/>
        <v>AVEIGA FALCONES DANY MARONLIQUIDO</v>
      </c>
      <c r="F280" s="28">
        <v>900</v>
      </c>
      <c r="G280" s="28">
        <v>900</v>
      </c>
      <c r="H280" s="28">
        <v>900</v>
      </c>
      <c r="I280" s="34">
        <f t="shared" si="61"/>
        <v>2700</v>
      </c>
      <c r="J280" s="29">
        <v>1.4999999999999999E-2</v>
      </c>
      <c r="K280" s="30">
        <f t="shared" si="59"/>
        <v>40.5</v>
      </c>
      <c r="L280" s="31">
        <f t="shared" si="60"/>
        <v>44.550000000000004</v>
      </c>
      <c r="M280" s="32">
        <v>2.0806</v>
      </c>
      <c r="N280" s="32">
        <v>1656.0719999999999</v>
      </c>
      <c r="O280" s="32">
        <v>2540.0591999999997</v>
      </c>
      <c r="P280" s="83">
        <v>0</v>
      </c>
      <c r="Q280" s="10">
        <f t="shared" si="58"/>
        <v>4198.2117999999991</v>
      </c>
      <c r="R280" s="33">
        <f t="shared" si="57"/>
        <v>1.554893259259259</v>
      </c>
      <c r="S280" s="33" t="str">
        <f t="shared" si="49"/>
        <v>GANA</v>
      </c>
      <c r="T280" s="33" t="str">
        <f>VLOOKUP(B280,'CUOTA TOTAL'!$B$4:$F$72,5,FALSE)</f>
        <v>GANA</v>
      </c>
      <c r="U280" s="31">
        <f t="shared" si="56"/>
        <v>62.973176999999986</v>
      </c>
      <c r="V280" s="31">
        <f t="shared" si="48"/>
        <v>44.550000000000004</v>
      </c>
      <c r="Y280" t="s">
        <v>202</v>
      </c>
    </row>
    <row r="281" spans="1:25" ht="15" customHeight="1">
      <c r="A281" s="7" t="s">
        <v>5</v>
      </c>
      <c r="B281" s="51" t="s">
        <v>8</v>
      </c>
      <c r="C281" s="9" t="s">
        <v>135</v>
      </c>
      <c r="D281" s="8" t="s">
        <v>196</v>
      </c>
      <c r="E281" s="8" t="str">
        <f t="shared" si="54"/>
        <v>AVEIGA FALCONES DANY MARONPOLVO DETERGENTE</v>
      </c>
      <c r="F281" s="28">
        <v>3800</v>
      </c>
      <c r="G281" s="28">
        <v>3800</v>
      </c>
      <c r="H281" s="28">
        <v>3800</v>
      </c>
      <c r="I281" s="34">
        <f t="shared" si="61"/>
        <v>11400</v>
      </c>
      <c r="J281" s="29">
        <v>4.4999999999999998E-2</v>
      </c>
      <c r="K281" s="30">
        <f t="shared" si="59"/>
        <v>513</v>
      </c>
      <c r="L281" s="31">
        <f t="shared" si="60"/>
        <v>564.30000000000007</v>
      </c>
      <c r="M281" s="32">
        <v>0.73480000000000001</v>
      </c>
      <c r="N281" s="32">
        <v>0.73480000000000001</v>
      </c>
      <c r="O281" s="32">
        <v>11480.865599999999</v>
      </c>
      <c r="P281" s="83">
        <v>0</v>
      </c>
      <c r="Q281" s="10">
        <f t="shared" si="58"/>
        <v>11482.3352</v>
      </c>
      <c r="R281" s="33">
        <f t="shared" si="57"/>
        <v>1.0072223859649123</v>
      </c>
      <c r="S281" s="33" t="str">
        <f t="shared" si="49"/>
        <v>GANA</v>
      </c>
      <c r="T281" s="33" t="str">
        <f>VLOOKUP(B281,'CUOTA TOTAL'!$B$4:$F$72,5,FALSE)</f>
        <v>GANA</v>
      </c>
      <c r="U281" s="31">
        <f t="shared" si="56"/>
        <v>516.70508399999994</v>
      </c>
      <c r="V281" s="31">
        <f t="shared" si="48"/>
        <v>516.70508399999994</v>
      </c>
      <c r="Y281" t="s">
        <v>202</v>
      </c>
    </row>
    <row r="282" spans="1:25" ht="15" customHeight="1">
      <c r="A282" s="7" t="s">
        <v>5</v>
      </c>
      <c r="B282" s="51" t="s">
        <v>8</v>
      </c>
      <c r="C282" s="9" t="s">
        <v>135</v>
      </c>
      <c r="D282" s="8" t="s">
        <v>197</v>
      </c>
      <c r="E282" s="8" t="str">
        <f t="shared" si="54"/>
        <v>AVEIGA FALCONES DANY MARONOTRAS CATEGORIAS</v>
      </c>
      <c r="F282" s="28">
        <v>20</v>
      </c>
      <c r="G282" s="28">
        <v>20</v>
      </c>
      <c r="H282" s="28">
        <v>20</v>
      </c>
      <c r="I282" s="34">
        <f t="shared" si="61"/>
        <v>60</v>
      </c>
      <c r="J282" s="29"/>
      <c r="K282" s="30">
        <f t="shared" si="59"/>
        <v>0</v>
      </c>
      <c r="L282" s="31">
        <f t="shared" si="60"/>
        <v>0</v>
      </c>
      <c r="M282" s="32">
        <v>0</v>
      </c>
      <c r="N282" s="32">
        <v>0</v>
      </c>
      <c r="O282" s="32">
        <v>0</v>
      </c>
      <c r="P282" s="83">
        <v>0</v>
      </c>
      <c r="Q282" s="10">
        <f t="shared" si="58"/>
        <v>0</v>
      </c>
      <c r="R282" s="33">
        <f t="shared" si="57"/>
        <v>0</v>
      </c>
      <c r="S282" s="33" t="str">
        <f t="shared" si="49"/>
        <v>NO GANA</v>
      </c>
      <c r="T282" s="33" t="str">
        <f>VLOOKUP(B282,'CUOTA TOTAL'!$B$4:$F$72,5,FALSE)</f>
        <v>GANA</v>
      </c>
      <c r="U282" s="31">
        <f t="shared" si="56"/>
        <v>0</v>
      </c>
      <c r="V282" s="31">
        <f t="shared" si="48"/>
        <v>0</v>
      </c>
      <c r="Y282" t="s">
        <v>202</v>
      </c>
    </row>
    <row r="283" spans="1:25" ht="15" customHeight="1">
      <c r="A283" s="7" t="s">
        <v>5</v>
      </c>
      <c r="B283" s="51" t="s">
        <v>7</v>
      </c>
      <c r="C283" s="9" t="s">
        <v>135</v>
      </c>
      <c r="D283" s="8" t="s">
        <v>165</v>
      </c>
      <c r="E283" s="8" t="str">
        <f t="shared" si="54"/>
        <v>ARBOLEDA VACA LETTY VIRGINIABARRA</v>
      </c>
      <c r="F283" s="28">
        <v>3950</v>
      </c>
      <c r="G283" s="28">
        <v>3950</v>
      </c>
      <c r="H283" s="28">
        <v>3950</v>
      </c>
      <c r="I283" s="34">
        <f t="shared" si="61"/>
        <v>11850</v>
      </c>
      <c r="J283" s="29">
        <v>1.4999999999999999E-2</v>
      </c>
      <c r="K283" s="30">
        <f t="shared" si="59"/>
        <v>177.75</v>
      </c>
      <c r="L283" s="31">
        <f t="shared" si="60"/>
        <v>195.52500000000003</v>
      </c>
      <c r="M283" s="32">
        <v>3075.4924000000005</v>
      </c>
      <c r="N283" s="32">
        <v>3964.15</v>
      </c>
      <c r="O283" s="32">
        <v>4667.155600000001</v>
      </c>
      <c r="P283" s="83">
        <v>461.61</v>
      </c>
      <c r="Q283" s="10">
        <f t="shared" si="58"/>
        <v>11706.798000000003</v>
      </c>
      <c r="R283" s="33">
        <f t="shared" si="57"/>
        <v>0.98791544303797485</v>
      </c>
      <c r="S283" s="33" t="str">
        <f t="shared" si="49"/>
        <v>GANA</v>
      </c>
      <c r="T283" s="33" t="str">
        <f>VLOOKUP(B283,'CUOTA TOTAL'!$B$4:$F$72,5,FALSE)</f>
        <v>GANA</v>
      </c>
      <c r="U283" s="31">
        <f t="shared" si="56"/>
        <v>175.60197000000002</v>
      </c>
      <c r="V283" s="31">
        <f t="shared" si="48"/>
        <v>175.60197000000002</v>
      </c>
      <c r="Y283" t="s">
        <v>203</v>
      </c>
    </row>
    <row r="284" spans="1:25" ht="15" customHeight="1">
      <c r="A284" s="7" t="s">
        <v>5</v>
      </c>
      <c r="B284" s="51" t="s">
        <v>7</v>
      </c>
      <c r="C284" s="9" t="s">
        <v>135</v>
      </c>
      <c r="D284" s="8" t="s">
        <v>193</v>
      </c>
      <c r="E284" s="8" t="str">
        <f t="shared" si="54"/>
        <v>ARBOLEDA VACA LETTY VIRGINIACREMA</v>
      </c>
      <c r="F284" s="28">
        <v>4000</v>
      </c>
      <c r="G284" s="28">
        <v>4000</v>
      </c>
      <c r="H284" s="28">
        <v>4000</v>
      </c>
      <c r="I284" s="34">
        <f t="shared" si="61"/>
        <v>12000</v>
      </c>
      <c r="J284" s="29">
        <v>3.5000000000000003E-2</v>
      </c>
      <c r="K284" s="30">
        <f t="shared" si="59"/>
        <v>420.00000000000006</v>
      </c>
      <c r="L284" s="31">
        <f t="shared" si="60"/>
        <v>462.00000000000011</v>
      </c>
      <c r="M284" s="32">
        <v>3444.1812000000004</v>
      </c>
      <c r="N284" s="32">
        <v>4535.4414000000015</v>
      </c>
      <c r="O284" s="32">
        <v>4287.8543999999993</v>
      </c>
      <c r="P284" s="83">
        <v>461.61</v>
      </c>
      <c r="Q284" s="10">
        <f t="shared" si="58"/>
        <v>12267.477000000003</v>
      </c>
      <c r="R284" s="33">
        <f t="shared" si="57"/>
        <v>1.0222897500000001</v>
      </c>
      <c r="S284" s="33" t="str">
        <f t="shared" si="49"/>
        <v>GANA</v>
      </c>
      <c r="T284" s="33" t="str">
        <f>VLOOKUP(B284,'CUOTA TOTAL'!$B$4:$F$72,5,FALSE)</f>
        <v>GANA</v>
      </c>
      <c r="U284" s="31">
        <f t="shared" si="56"/>
        <v>429.36169500000011</v>
      </c>
      <c r="V284" s="31">
        <f t="shared" si="48"/>
        <v>429.36169500000011</v>
      </c>
      <c r="Y284" t="s">
        <v>203</v>
      </c>
    </row>
    <row r="285" spans="1:25" ht="15" customHeight="1">
      <c r="A285" s="7" t="s">
        <v>5</v>
      </c>
      <c r="B285" s="51" t="s">
        <v>7</v>
      </c>
      <c r="C285" s="9" t="s">
        <v>135</v>
      </c>
      <c r="D285" s="8" t="s">
        <v>194</v>
      </c>
      <c r="E285" s="8" t="str">
        <f t="shared" si="54"/>
        <v>ARBOLEDA VACA LETTY VIRGINIALIQUIDO</v>
      </c>
      <c r="F285" s="28">
        <v>2500</v>
      </c>
      <c r="G285" s="28">
        <v>2500</v>
      </c>
      <c r="H285" s="28">
        <v>2500</v>
      </c>
      <c r="I285" s="34">
        <f t="shared" si="61"/>
        <v>7500</v>
      </c>
      <c r="J285" s="29">
        <v>1.4999999999999999E-2</v>
      </c>
      <c r="K285" s="30">
        <f t="shared" si="59"/>
        <v>112.5</v>
      </c>
      <c r="L285" s="31">
        <f t="shared" si="60"/>
        <v>123.75</v>
      </c>
      <c r="M285" s="32">
        <v>3022.0479999999989</v>
      </c>
      <c r="N285" s="32">
        <v>3351.1775999999991</v>
      </c>
      <c r="O285" s="32">
        <v>4205.2351999999992</v>
      </c>
      <c r="P285" s="83">
        <v>461.61</v>
      </c>
      <c r="Q285" s="10">
        <f t="shared" si="58"/>
        <v>10578.460799999997</v>
      </c>
      <c r="R285" s="33">
        <f t="shared" si="57"/>
        <v>1.4104614399999995</v>
      </c>
      <c r="S285" s="33" t="str">
        <f t="shared" si="49"/>
        <v>GANA</v>
      </c>
      <c r="T285" s="33" t="str">
        <f>VLOOKUP(B285,'CUOTA TOTAL'!$B$4:$F$72,5,FALSE)</f>
        <v>GANA</v>
      </c>
      <c r="U285" s="31">
        <f t="shared" si="56"/>
        <v>158.67691199999996</v>
      </c>
      <c r="V285" s="31">
        <f t="shared" si="48"/>
        <v>123.75</v>
      </c>
      <c r="Y285" t="s">
        <v>203</v>
      </c>
    </row>
    <row r="286" spans="1:25" ht="15" customHeight="1">
      <c r="A286" s="7" t="s">
        <v>5</v>
      </c>
      <c r="B286" s="51" t="s">
        <v>7</v>
      </c>
      <c r="C286" s="9" t="s">
        <v>135</v>
      </c>
      <c r="D286" s="8" t="s">
        <v>196</v>
      </c>
      <c r="E286" s="8" t="str">
        <f t="shared" si="54"/>
        <v>ARBOLEDA VACA LETTY VIRGINIAPOLVO DETERGENTE</v>
      </c>
      <c r="F286" s="28">
        <v>15000</v>
      </c>
      <c r="G286" s="28">
        <v>15000</v>
      </c>
      <c r="H286" s="28">
        <v>15000</v>
      </c>
      <c r="I286" s="34">
        <f t="shared" si="61"/>
        <v>45000</v>
      </c>
      <c r="J286" s="29">
        <v>4.4999999999999998E-2</v>
      </c>
      <c r="K286" s="30">
        <f t="shared" si="59"/>
        <v>2025</v>
      </c>
      <c r="L286" s="31">
        <f t="shared" si="60"/>
        <v>2227.5000000000005</v>
      </c>
      <c r="M286" s="32">
        <v>4832.1376000000009</v>
      </c>
      <c r="N286" s="32">
        <v>16511.933799999999</v>
      </c>
      <c r="O286" s="32">
        <v>20541.838</v>
      </c>
      <c r="P286" s="83">
        <v>461.61</v>
      </c>
      <c r="Q286" s="10">
        <f t="shared" si="58"/>
        <v>41885.909400000004</v>
      </c>
      <c r="R286" s="33">
        <f t="shared" si="57"/>
        <v>0.9307979866666668</v>
      </c>
      <c r="S286" s="33" t="str">
        <f t="shared" si="49"/>
        <v>GANA</v>
      </c>
      <c r="T286" s="33" t="str">
        <f>VLOOKUP(B286,'CUOTA TOTAL'!$B$4:$F$72,5,FALSE)</f>
        <v>GANA</v>
      </c>
      <c r="U286" s="31">
        <f t="shared" si="56"/>
        <v>1884.8659230000001</v>
      </c>
      <c r="V286" s="31">
        <f t="shared" si="48"/>
        <v>1884.8659230000001</v>
      </c>
      <c r="Y286" t="s">
        <v>203</v>
      </c>
    </row>
    <row r="287" spans="1:25" ht="15" customHeight="1">
      <c r="A287" s="7" t="s">
        <v>5</v>
      </c>
      <c r="B287" s="51" t="s">
        <v>7</v>
      </c>
      <c r="C287" s="9" t="s">
        <v>135</v>
      </c>
      <c r="D287" s="8" t="s">
        <v>197</v>
      </c>
      <c r="E287" s="8" t="str">
        <f t="shared" si="54"/>
        <v>ARBOLEDA VACA LETTY VIRGINIAOTRAS CATEGORIAS</v>
      </c>
      <c r="F287" s="28">
        <v>30</v>
      </c>
      <c r="G287" s="28">
        <v>30</v>
      </c>
      <c r="H287" s="28">
        <v>30</v>
      </c>
      <c r="I287" s="34">
        <f t="shared" si="61"/>
        <v>90</v>
      </c>
      <c r="J287" s="29"/>
      <c r="K287" s="30">
        <f t="shared" si="59"/>
        <v>0</v>
      </c>
      <c r="L287" s="31">
        <f t="shared" si="60"/>
        <v>0</v>
      </c>
      <c r="M287" s="32">
        <v>0</v>
      </c>
      <c r="N287" s="32">
        <v>70.524000000000001</v>
      </c>
      <c r="O287" s="32">
        <v>70.524000000000001</v>
      </c>
      <c r="P287" s="83">
        <v>461.61</v>
      </c>
      <c r="Q287" s="10">
        <f t="shared" si="58"/>
        <v>141.048</v>
      </c>
      <c r="R287" s="33">
        <f t="shared" si="57"/>
        <v>1.5671999999999999</v>
      </c>
      <c r="S287" s="33" t="str">
        <f t="shared" si="49"/>
        <v>GANA</v>
      </c>
      <c r="T287" s="33" t="str">
        <f>VLOOKUP(B287,'CUOTA TOTAL'!$B$4:$F$72,5,FALSE)</f>
        <v>GANA</v>
      </c>
      <c r="U287" s="31">
        <f t="shared" si="56"/>
        <v>0</v>
      </c>
      <c r="V287" s="31">
        <f t="shared" si="48"/>
        <v>0</v>
      </c>
      <c r="Y287" t="s">
        <v>203</v>
      </c>
    </row>
    <row r="288" spans="1:25" ht="15" customHeight="1">
      <c r="A288" s="7" t="s">
        <v>5</v>
      </c>
      <c r="B288" s="51" t="s">
        <v>15</v>
      </c>
      <c r="C288" s="9" t="s">
        <v>135</v>
      </c>
      <c r="D288" s="8" t="s">
        <v>165</v>
      </c>
      <c r="E288" s="8" t="str">
        <f t="shared" si="54"/>
        <v>MACIAS CEDEÑO CESAR ENRIQUEBARRA</v>
      </c>
      <c r="F288" s="28">
        <v>2500</v>
      </c>
      <c r="G288" s="28">
        <v>2500</v>
      </c>
      <c r="H288" s="28">
        <v>2500</v>
      </c>
      <c r="I288" s="34">
        <f t="shared" si="61"/>
        <v>7500</v>
      </c>
      <c r="J288" s="29">
        <v>1.4999999999999999E-2</v>
      </c>
      <c r="K288" s="30">
        <f t="shared" si="59"/>
        <v>112.5</v>
      </c>
      <c r="L288" s="31">
        <f t="shared" si="60"/>
        <v>123.75</v>
      </c>
      <c r="M288" s="32">
        <v>2995.2</v>
      </c>
      <c r="N288" s="32">
        <v>2752.3968</v>
      </c>
      <c r="O288" s="32">
        <v>4452.4704000000002</v>
      </c>
      <c r="P288" s="83">
        <v>0</v>
      </c>
      <c r="Q288" s="10">
        <f t="shared" si="58"/>
        <v>10200.0672</v>
      </c>
      <c r="R288" s="33">
        <f t="shared" si="57"/>
        <v>1.36000896</v>
      </c>
      <c r="S288" s="33" t="str">
        <f t="shared" si="49"/>
        <v>GANA</v>
      </c>
      <c r="T288" s="33" t="str">
        <f>VLOOKUP(B288,'CUOTA TOTAL'!$B$4:$F$72,5,FALSE)</f>
        <v>GANA</v>
      </c>
      <c r="U288" s="31">
        <f t="shared" si="56"/>
        <v>153.00100799999998</v>
      </c>
      <c r="V288" s="31">
        <f t="shared" si="48"/>
        <v>123.75</v>
      </c>
    </row>
    <row r="289" spans="1:22" ht="15" customHeight="1">
      <c r="A289" s="7" t="s">
        <v>5</v>
      </c>
      <c r="B289" s="51" t="s">
        <v>15</v>
      </c>
      <c r="C289" s="9" t="s">
        <v>135</v>
      </c>
      <c r="D289" s="8" t="s">
        <v>193</v>
      </c>
      <c r="E289" s="8" t="str">
        <f t="shared" si="54"/>
        <v>MACIAS CEDEÑO CESAR ENRIQUECREMA</v>
      </c>
      <c r="F289" s="28">
        <v>3993.75</v>
      </c>
      <c r="G289" s="28">
        <v>3993.75</v>
      </c>
      <c r="H289" s="28">
        <v>3993.75</v>
      </c>
      <c r="I289" s="34">
        <f t="shared" si="61"/>
        <v>11981.25</v>
      </c>
      <c r="J289" s="29">
        <v>3.5000000000000003E-2</v>
      </c>
      <c r="K289" s="30">
        <f t="shared" si="59"/>
        <v>419.34375000000006</v>
      </c>
      <c r="L289" s="31">
        <f t="shared" si="60"/>
        <v>461.2781250000001</v>
      </c>
      <c r="M289" s="32">
        <v>7767.9132000000018</v>
      </c>
      <c r="N289" s="32">
        <v>4246.3152000000009</v>
      </c>
      <c r="O289" s="32">
        <v>7905.9312000000018</v>
      </c>
      <c r="P289" s="83">
        <v>0</v>
      </c>
      <c r="Q289" s="10">
        <f t="shared" si="58"/>
        <v>19920.159600000006</v>
      </c>
      <c r="R289" s="33">
        <f t="shared" si="57"/>
        <v>1.6626111298904545</v>
      </c>
      <c r="S289" s="33" t="str">
        <f t="shared" si="49"/>
        <v>GANA</v>
      </c>
      <c r="T289" s="33" t="str">
        <f>VLOOKUP(B289,'CUOTA TOTAL'!$B$4:$F$72,5,FALSE)</f>
        <v>GANA</v>
      </c>
      <c r="U289" s="31">
        <f t="shared" si="56"/>
        <v>697.20558600000027</v>
      </c>
      <c r="V289" s="31">
        <f t="shared" si="48"/>
        <v>461.2781250000001</v>
      </c>
    </row>
    <row r="290" spans="1:22" ht="15" customHeight="1">
      <c r="A290" s="7" t="s">
        <v>5</v>
      </c>
      <c r="B290" s="51" t="s">
        <v>15</v>
      </c>
      <c r="C290" s="9" t="s">
        <v>135</v>
      </c>
      <c r="D290" s="8" t="s">
        <v>194</v>
      </c>
      <c r="E290" s="8" t="str">
        <f t="shared" si="54"/>
        <v>MACIAS CEDEÑO CESAR ENRIQUELIQUIDO</v>
      </c>
      <c r="F290" s="28">
        <v>740</v>
      </c>
      <c r="G290" s="28">
        <v>740</v>
      </c>
      <c r="H290" s="28">
        <v>740</v>
      </c>
      <c r="I290" s="34">
        <f t="shared" si="61"/>
        <v>2220</v>
      </c>
      <c r="J290" s="29">
        <v>1.4999999999999999E-2</v>
      </c>
      <c r="K290" s="30">
        <f t="shared" si="59"/>
        <v>33.299999999999997</v>
      </c>
      <c r="L290" s="31">
        <f t="shared" si="60"/>
        <v>36.629999999999995</v>
      </c>
      <c r="M290" s="32">
        <v>2714.0848000000005</v>
      </c>
      <c r="N290" s="32">
        <v>1939.7664000000002</v>
      </c>
      <c r="O290" s="32">
        <v>755.19360000000006</v>
      </c>
      <c r="P290" s="83">
        <v>0</v>
      </c>
      <c r="Q290" s="10">
        <f t="shared" si="58"/>
        <v>5409.0448000000015</v>
      </c>
      <c r="R290" s="33">
        <f t="shared" si="57"/>
        <v>2.4365066666666673</v>
      </c>
      <c r="S290" s="33" t="str">
        <f t="shared" si="49"/>
        <v>GANA</v>
      </c>
      <c r="T290" s="33" t="str">
        <f>VLOOKUP(B290,'CUOTA TOTAL'!$B$4:$F$72,5,FALSE)</f>
        <v>GANA</v>
      </c>
      <c r="U290" s="31">
        <f t="shared" si="56"/>
        <v>81.135672000000014</v>
      </c>
      <c r="V290" s="31">
        <f t="shared" si="48"/>
        <v>36.629999999999995</v>
      </c>
    </row>
    <row r="291" spans="1:22" ht="15" customHeight="1">
      <c r="A291" s="7" t="s">
        <v>5</v>
      </c>
      <c r="B291" s="51" t="s">
        <v>15</v>
      </c>
      <c r="C291" s="9" t="s">
        <v>135</v>
      </c>
      <c r="D291" s="8" t="s">
        <v>196</v>
      </c>
      <c r="E291" s="8" t="str">
        <f t="shared" si="54"/>
        <v>MACIAS CEDEÑO CESAR ENRIQUEPOLVO DETERGENTE</v>
      </c>
      <c r="F291" s="28">
        <v>9580</v>
      </c>
      <c r="G291" s="28">
        <v>9580</v>
      </c>
      <c r="H291" s="28">
        <v>9580</v>
      </c>
      <c r="I291" s="34">
        <f t="shared" si="61"/>
        <v>28740</v>
      </c>
      <c r="J291" s="29">
        <v>4.4999999999999998E-2</v>
      </c>
      <c r="K291" s="30">
        <f t="shared" si="59"/>
        <v>1293.3</v>
      </c>
      <c r="L291" s="31">
        <f t="shared" si="60"/>
        <v>1422.63</v>
      </c>
      <c r="M291" s="32">
        <v>10425.8688</v>
      </c>
      <c r="N291" s="32">
        <v>8394.112000000001</v>
      </c>
      <c r="O291" s="32">
        <v>10315.345600000001</v>
      </c>
      <c r="P291" s="83">
        <v>0</v>
      </c>
      <c r="Q291" s="10">
        <f t="shared" si="58"/>
        <v>29135.326400000002</v>
      </c>
      <c r="R291" s="33">
        <f t="shared" si="57"/>
        <v>1.0137552679192763</v>
      </c>
      <c r="S291" s="33" t="str">
        <f t="shared" si="49"/>
        <v>GANA</v>
      </c>
      <c r="T291" s="33" t="str">
        <f>VLOOKUP(B291,'CUOTA TOTAL'!$B$4:$F$72,5,FALSE)</f>
        <v>GANA</v>
      </c>
      <c r="U291" s="31">
        <f t="shared" si="56"/>
        <v>1311.089688</v>
      </c>
      <c r="V291" s="31">
        <f t="shared" si="48"/>
        <v>1311.089688</v>
      </c>
    </row>
    <row r="292" spans="1:22" ht="15" customHeight="1">
      <c r="A292" s="7" t="s">
        <v>5</v>
      </c>
      <c r="B292" s="51" t="s">
        <v>15</v>
      </c>
      <c r="C292" s="9" t="s">
        <v>135</v>
      </c>
      <c r="D292" s="8" t="s">
        <v>197</v>
      </c>
      <c r="E292" s="8" t="str">
        <f t="shared" si="54"/>
        <v>MACIAS CEDEÑO CESAR ENRIQUEOTRAS CATEGORIAS</v>
      </c>
      <c r="F292" s="28">
        <v>30</v>
      </c>
      <c r="G292" s="28">
        <v>30</v>
      </c>
      <c r="H292" s="28">
        <v>30</v>
      </c>
      <c r="I292" s="34">
        <f t="shared" si="61"/>
        <v>90</v>
      </c>
      <c r="J292" s="29"/>
      <c r="K292" s="30">
        <f t="shared" si="59"/>
        <v>0</v>
      </c>
      <c r="L292" s="31">
        <f t="shared" si="60"/>
        <v>0</v>
      </c>
      <c r="M292" s="32">
        <v>0</v>
      </c>
      <c r="N292" s="32">
        <v>0</v>
      </c>
      <c r="O292" s="32">
        <v>0</v>
      </c>
      <c r="P292" s="83">
        <v>0</v>
      </c>
      <c r="Q292" s="10">
        <f t="shared" si="58"/>
        <v>0</v>
      </c>
      <c r="R292" s="33">
        <f t="shared" si="57"/>
        <v>0</v>
      </c>
      <c r="S292" s="33" t="str">
        <f t="shared" si="49"/>
        <v>NO GANA</v>
      </c>
      <c r="T292" s="33" t="str">
        <f>VLOOKUP(B292,'CUOTA TOTAL'!$B$4:$F$72,5,FALSE)</f>
        <v>GANA</v>
      </c>
      <c r="U292" s="31">
        <f t="shared" si="56"/>
        <v>0</v>
      </c>
      <c r="V292" s="31">
        <f t="shared" si="48"/>
        <v>0</v>
      </c>
    </row>
    <row r="293" spans="1:22" ht="15" customHeight="1">
      <c r="A293" s="7" t="s">
        <v>5</v>
      </c>
      <c r="B293" s="51" t="s">
        <v>6</v>
      </c>
      <c r="C293" s="9" t="s">
        <v>135</v>
      </c>
      <c r="D293" s="8" t="s">
        <v>165</v>
      </c>
      <c r="E293" s="8" t="str">
        <f t="shared" si="54"/>
        <v>ANDRADE ANDRADE GEMA LUCIABARRA</v>
      </c>
      <c r="F293" s="28">
        <v>1150</v>
      </c>
      <c r="G293" s="28">
        <v>1150</v>
      </c>
      <c r="H293" s="28">
        <v>1150</v>
      </c>
      <c r="I293" s="34">
        <f t="shared" si="61"/>
        <v>3450</v>
      </c>
      <c r="J293" s="29">
        <v>1.4999999999999999E-2</v>
      </c>
      <c r="K293" s="30">
        <f t="shared" si="59"/>
        <v>51.75</v>
      </c>
      <c r="L293" s="31">
        <f t="shared" si="60"/>
        <v>56.925000000000004</v>
      </c>
      <c r="M293" s="32">
        <v>311.96159999999998</v>
      </c>
      <c r="N293" s="32">
        <v>0</v>
      </c>
      <c r="O293" s="32">
        <v>223.82400000000001</v>
      </c>
      <c r="P293" s="83">
        <v>0</v>
      </c>
      <c r="Q293" s="10">
        <f t="shared" si="58"/>
        <v>535.78559999999993</v>
      </c>
      <c r="R293" s="33">
        <f t="shared" si="57"/>
        <v>0.15530017391304346</v>
      </c>
      <c r="S293" s="33" t="str">
        <f t="shared" si="49"/>
        <v>NO GANA</v>
      </c>
      <c r="T293" s="33" t="str">
        <f>VLOOKUP(B293,'CUOTA TOTAL'!$B$4:$F$72,5,FALSE)</f>
        <v>NO GANA</v>
      </c>
      <c r="U293" s="31">
        <f t="shared" si="56"/>
        <v>0</v>
      </c>
      <c r="V293" s="31">
        <f t="shared" si="48"/>
        <v>0</v>
      </c>
    </row>
    <row r="294" spans="1:22" ht="15" customHeight="1">
      <c r="A294" s="7" t="s">
        <v>5</v>
      </c>
      <c r="B294" s="51" t="s">
        <v>6</v>
      </c>
      <c r="C294" s="9" t="s">
        <v>135</v>
      </c>
      <c r="D294" s="8" t="s">
        <v>193</v>
      </c>
      <c r="E294" s="8" t="str">
        <f t="shared" si="54"/>
        <v>ANDRADE ANDRADE GEMA LUCIACREMA</v>
      </c>
      <c r="F294" s="28">
        <v>2350</v>
      </c>
      <c r="G294" s="28">
        <v>2350</v>
      </c>
      <c r="H294" s="28">
        <v>2350</v>
      </c>
      <c r="I294" s="34">
        <f t="shared" si="61"/>
        <v>7050</v>
      </c>
      <c r="J294" s="29">
        <v>3.5000000000000003E-2</v>
      </c>
      <c r="K294" s="30">
        <f t="shared" si="59"/>
        <v>246.75000000000003</v>
      </c>
      <c r="L294" s="31">
        <f t="shared" si="60"/>
        <v>271.42500000000007</v>
      </c>
      <c r="M294" s="32">
        <v>1302.6587999999999</v>
      </c>
      <c r="N294" s="32">
        <v>0</v>
      </c>
      <c r="O294" s="32">
        <v>0</v>
      </c>
      <c r="P294" s="83">
        <v>0</v>
      </c>
      <c r="Q294" s="10">
        <f t="shared" si="58"/>
        <v>1302.6587999999999</v>
      </c>
      <c r="R294" s="33">
        <f t="shared" si="57"/>
        <v>0.18477429787234043</v>
      </c>
      <c r="S294" s="33" t="str">
        <f t="shared" si="49"/>
        <v>NO GANA</v>
      </c>
      <c r="T294" s="33" t="str">
        <f>VLOOKUP(B294,'CUOTA TOTAL'!$B$4:$F$72,5,FALSE)</f>
        <v>NO GANA</v>
      </c>
      <c r="U294" s="31">
        <f t="shared" si="56"/>
        <v>0</v>
      </c>
      <c r="V294" s="31">
        <f t="shared" si="48"/>
        <v>0</v>
      </c>
    </row>
    <row r="295" spans="1:22" ht="15" customHeight="1">
      <c r="A295" s="7" t="s">
        <v>5</v>
      </c>
      <c r="B295" s="51" t="s">
        <v>6</v>
      </c>
      <c r="C295" s="9" t="s">
        <v>135</v>
      </c>
      <c r="D295" s="8" t="s">
        <v>194</v>
      </c>
      <c r="E295" s="8" t="str">
        <f t="shared" si="54"/>
        <v>ANDRADE ANDRADE GEMA LUCIALIQUIDO</v>
      </c>
      <c r="F295" s="28">
        <v>100</v>
      </c>
      <c r="G295" s="28">
        <v>100</v>
      </c>
      <c r="H295" s="28">
        <v>100</v>
      </c>
      <c r="I295" s="34">
        <f t="shared" si="61"/>
        <v>300</v>
      </c>
      <c r="J295" s="29">
        <v>1.4999999999999999E-2</v>
      </c>
      <c r="K295" s="30">
        <f t="shared" si="59"/>
        <v>4.5</v>
      </c>
      <c r="L295" s="31">
        <f t="shared" si="60"/>
        <v>4.95</v>
      </c>
      <c r="M295" s="32">
        <v>489.16060000000004</v>
      </c>
      <c r="N295" s="32">
        <v>0</v>
      </c>
      <c r="O295" s="32">
        <v>0</v>
      </c>
      <c r="P295" s="83">
        <v>0</v>
      </c>
      <c r="Q295" s="10">
        <f t="shared" si="58"/>
        <v>489.16060000000004</v>
      </c>
      <c r="R295" s="33">
        <f t="shared" si="57"/>
        <v>1.6305353333333334</v>
      </c>
      <c r="S295" s="33" t="str">
        <f t="shared" si="49"/>
        <v>GANA</v>
      </c>
      <c r="T295" s="33" t="str">
        <f>VLOOKUP(B295,'CUOTA TOTAL'!$B$4:$F$72,5,FALSE)</f>
        <v>NO GANA</v>
      </c>
      <c r="U295" s="31">
        <f t="shared" si="56"/>
        <v>0</v>
      </c>
      <c r="V295" s="31">
        <f t="shared" si="48"/>
        <v>0</v>
      </c>
    </row>
    <row r="296" spans="1:22" ht="15" customHeight="1">
      <c r="A296" s="7" t="s">
        <v>5</v>
      </c>
      <c r="B296" s="51" t="s">
        <v>6</v>
      </c>
      <c r="C296" s="9" t="s">
        <v>135</v>
      </c>
      <c r="D296" s="8" t="s">
        <v>196</v>
      </c>
      <c r="E296" s="8" t="str">
        <f t="shared" si="54"/>
        <v>ANDRADE ANDRADE GEMA LUCIAPOLVO DETERGENTE</v>
      </c>
      <c r="F296" s="28">
        <v>3600</v>
      </c>
      <c r="G296" s="28">
        <v>3600</v>
      </c>
      <c r="H296" s="28">
        <v>3600</v>
      </c>
      <c r="I296" s="34">
        <f t="shared" si="61"/>
        <v>10800</v>
      </c>
      <c r="J296" s="29">
        <v>4.4999999999999998E-2</v>
      </c>
      <c r="K296" s="30">
        <f t="shared" si="59"/>
        <v>486</v>
      </c>
      <c r="L296" s="31">
        <f t="shared" si="60"/>
        <v>534.6</v>
      </c>
      <c r="M296" s="32">
        <v>8480.5151999999998</v>
      </c>
      <c r="N296" s="32">
        <v>0</v>
      </c>
      <c r="O296" s="32">
        <v>523.15200000000004</v>
      </c>
      <c r="P296" s="83">
        <v>0</v>
      </c>
      <c r="Q296" s="10">
        <f t="shared" si="58"/>
        <v>9003.6671999999999</v>
      </c>
      <c r="R296" s="33">
        <f t="shared" si="57"/>
        <v>0.83367288888888891</v>
      </c>
      <c r="S296" s="33" t="str">
        <f t="shared" si="49"/>
        <v>GANA</v>
      </c>
      <c r="T296" s="33" t="str">
        <f>VLOOKUP(B296,'CUOTA TOTAL'!$B$4:$F$72,5,FALSE)</f>
        <v>NO GANA</v>
      </c>
      <c r="U296" s="31">
        <f t="shared" si="56"/>
        <v>0</v>
      </c>
      <c r="V296" s="31">
        <f t="shared" si="48"/>
        <v>0</v>
      </c>
    </row>
    <row r="297" spans="1:22" ht="15" customHeight="1">
      <c r="A297" s="7" t="s">
        <v>5</v>
      </c>
      <c r="B297" s="51" t="s">
        <v>6</v>
      </c>
      <c r="C297" s="9" t="s">
        <v>135</v>
      </c>
      <c r="D297" s="8" t="s">
        <v>197</v>
      </c>
      <c r="E297" s="8" t="str">
        <f t="shared" si="54"/>
        <v>ANDRADE ANDRADE GEMA LUCIAOTRAS CATEGORIAS</v>
      </c>
      <c r="F297" s="28">
        <v>20</v>
      </c>
      <c r="G297" s="28">
        <v>20</v>
      </c>
      <c r="H297" s="28">
        <v>20</v>
      </c>
      <c r="I297" s="34">
        <f t="shared" si="61"/>
        <v>60</v>
      </c>
      <c r="J297" s="29"/>
      <c r="K297" s="30">
        <f t="shared" si="59"/>
        <v>0</v>
      </c>
      <c r="L297" s="31">
        <f t="shared" si="60"/>
        <v>0</v>
      </c>
      <c r="M297" s="32">
        <v>0</v>
      </c>
      <c r="N297" s="32">
        <v>0</v>
      </c>
      <c r="O297" s="32">
        <v>0</v>
      </c>
      <c r="P297" s="83">
        <v>0</v>
      </c>
      <c r="Q297" s="10">
        <f t="shared" si="58"/>
        <v>0</v>
      </c>
      <c r="R297" s="33">
        <f t="shared" si="57"/>
        <v>0</v>
      </c>
      <c r="S297" s="33" t="str">
        <f t="shared" si="49"/>
        <v>NO GANA</v>
      </c>
      <c r="T297" s="33" t="str">
        <f>VLOOKUP(B297,'CUOTA TOTAL'!$B$4:$F$72,5,FALSE)</f>
        <v>NO GANA</v>
      </c>
      <c r="U297" s="31">
        <f t="shared" si="56"/>
        <v>0</v>
      </c>
      <c r="V297" s="31">
        <f t="shared" si="48"/>
        <v>0</v>
      </c>
    </row>
    <row r="298" spans="1:22" ht="15" customHeight="1">
      <c r="A298" s="7" t="s">
        <v>49</v>
      </c>
      <c r="B298" s="51" t="s">
        <v>51</v>
      </c>
      <c r="C298" s="9" t="s">
        <v>163</v>
      </c>
      <c r="D298" s="8" t="s">
        <v>165</v>
      </c>
      <c r="E298" s="8" t="str">
        <f t="shared" si="54"/>
        <v>ALVARADO ORELLANA YADIRA EVELYNBARRA</v>
      </c>
      <c r="F298" s="34">
        <v>2500</v>
      </c>
      <c r="G298" s="34">
        <v>2500</v>
      </c>
      <c r="H298" s="34">
        <v>2500</v>
      </c>
      <c r="I298" s="34">
        <f t="shared" si="61"/>
        <v>7500</v>
      </c>
      <c r="J298" s="29">
        <v>1.4999999999999999E-2</v>
      </c>
      <c r="K298" s="30">
        <f t="shared" si="59"/>
        <v>112.5</v>
      </c>
      <c r="L298" s="31">
        <f t="shared" si="60"/>
        <v>123.75</v>
      </c>
      <c r="M298" s="32">
        <v>4794.6000000000004</v>
      </c>
      <c r="N298" s="32">
        <v>1029.6320000000001</v>
      </c>
      <c r="O298" s="32">
        <v>0</v>
      </c>
      <c r="P298" s="81">
        <v>0</v>
      </c>
      <c r="Q298" s="10">
        <f t="shared" si="58"/>
        <v>5824.232</v>
      </c>
      <c r="R298" s="33">
        <f t="shared" si="57"/>
        <v>0.77656426666666667</v>
      </c>
      <c r="S298" s="33" t="str">
        <f t="shared" si="49"/>
        <v>NO GANA</v>
      </c>
      <c r="T298" s="33" t="str">
        <f>VLOOKUP(B298,'CUOTA TOTAL'!$B$4:$F$72,5,FALSE)</f>
        <v>GANA</v>
      </c>
      <c r="U298" s="31">
        <f t="shared" si="56"/>
        <v>0</v>
      </c>
      <c r="V298" s="31">
        <f t="shared" si="48"/>
        <v>0</v>
      </c>
    </row>
    <row r="299" spans="1:22" ht="15" customHeight="1">
      <c r="A299" s="7" t="s">
        <v>49</v>
      </c>
      <c r="B299" s="51" t="s">
        <v>51</v>
      </c>
      <c r="C299" s="9" t="s">
        <v>163</v>
      </c>
      <c r="D299" s="8" t="s">
        <v>193</v>
      </c>
      <c r="E299" s="8" t="str">
        <f t="shared" si="54"/>
        <v>ALVARADO ORELLANA YADIRA EVELYNCREMA</v>
      </c>
      <c r="F299" s="34">
        <v>725</v>
      </c>
      <c r="G299" s="34">
        <v>725</v>
      </c>
      <c r="H299" s="34">
        <v>725</v>
      </c>
      <c r="I299" s="34">
        <f t="shared" si="61"/>
        <v>2175</v>
      </c>
      <c r="J299" s="29">
        <v>1.4999999999999999E-2</v>
      </c>
      <c r="K299" s="30">
        <f t="shared" si="59"/>
        <v>32.625</v>
      </c>
      <c r="L299" s="31">
        <f t="shared" si="60"/>
        <v>35.887499999999996</v>
      </c>
      <c r="M299" s="32">
        <v>876.23039999999992</v>
      </c>
      <c r="N299" s="32">
        <v>0</v>
      </c>
      <c r="O299" s="32">
        <v>341.22239999999999</v>
      </c>
      <c r="P299" s="81">
        <v>0</v>
      </c>
      <c r="Q299" s="10">
        <f t="shared" si="58"/>
        <v>1217.4528</v>
      </c>
      <c r="R299" s="33">
        <f t="shared" si="57"/>
        <v>0.55974841379310347</v>
      </c>
      <c r="S299" s="33" t="str">
        <f t="shared" si="49"/>
        <v>NO GANA</v>
      </c>
      <c r="T299" s="33" t="str">
        <f>VLOOKUP(B299,'CUOTA TOTAL'!$B$4:$F$72,5,FALSE)</f>
        <v>GANA</v>
      </c>
      <c r="U299" s="31">
        <f t="shared" si="56"/>
        <v>0</v>
      </c>
      <c r="V299" s="31">
        <f t="shared" si="48"/>
        <v>0</v>
      </c>
    </row>
    <row r="300" spans="1:22" ht="15" customHeight="1">
      <c r="A300" s="7" t="s">
        <v>49</v>
      </c>
      <c r="B300" s="51" t="s">
        <v>51</v>
      </c>
      <c r="C300" s="9" t="s">
        <v>163</v>
      </c>
      <c r="D300" s="8" t="s">
        <v>194</v>
      </c>
      <c r="E300" s="8" t="str">
        <f t="shared" si="54"/>
        <v>ALVARADO ORELLANA YADIRA EVELYNLIQUIDO</v>
      </c>
      <c r="F300" s="34">
        <v>250</v>
      </c>
      <c r="G300" s="34">
        <v>250</v>
      </c>
      <c r="H300" s="34">
        <v>250</v>
      </c>
      <c r="I300" s="34">
        <f t="shared" si="61"/>
        <v>750</v>
      </c>
      <c r="J300" s="29">
        <v>1.4999999999999999E-2</v>
      </c>
      <c r="K300" s="30">
        <f t="shared" si="59"/>
        <v>11.25</v>
      </c>
      <c r="L300" s="31">
        <f t="shared" si="60"/>
        <v>12.375000000000002</v>
      </c>
      <c r="M300" s="32">
        <v>0</v>
      </c>
      <c r="N300" s="32">
        <v>0</v>
      </c>
      <c r="O300" s="32">
        <v>0</v>
      </c>
      <c r="P300" s="81">
        <v>0</v>
      </c>
      <c r="Q300" s="10">
        <f t="shared" si="58"/>
        <v>0</v>
      </c>
      <c r="R300" s="33">
        <f t="shared" si="57"/>
        <v>0</v>
      </c>
      <c r="S300" s="33" t="str">
        <f t="shared" si="49"/>
        <v>NO GANA</v>
      </c>
      <c r="T300" s="33" t="str">
        <f>VLOOKUP(B300,'CUOTA TOTAL'!$B$4:$F$72,5,FALSE)</f>
        <v>GANA</v>
      </c>
      <c r="U300" s="31">
        <f t="shared" si="56"/>
        <v>0</v>
      </c>
      <c r="V300" s="31">
        <f t="shared" si="48"/>
        <v>0</v>
      </c>
    </row>
    <row r="301" spans="1:22" ht="15" customHeight="1">
      <c r="A301" s="7" t="s">
        <v>49</v>
      </c>
      <c r="B301" s="51" t="s">
        <v>51</v>
      </c>
      <c r="C301" s="9" t="s">
        <v>163</v>
      </c>
      <c r="D301" s="8" t="s">
        <v>196</v>
      </c>
      <c r="E301" s="8" t="str">
        <f t="shared" si="54"/>
        <v>ALVARADO ORELLANA YADIRA EVELYNPOLVO DETERGENTE</v>
      </c>
      <c r="F301" s="34">
        <v>4500</v>
      </c>
      <c r="G301" s="34">
        <v>4500</v>
      </c>
      <c r="H301" s="34">
        <v>4500</v>
      </c>
      <c r="I301" s="34">
        <f t="shared" si="61"/>
        <v>13500</v>
      </c>
      <c r="J301" s="29">
        <v>1.4999999999999999E-2</v>
      </c>
      <c r="K301" s="30">
        <f t="shared" si="59"/>
        <v>202.5</v>
      </c>
      <c r="L301" s="31">
        <f t="shared" si="60"/>
        <v>222.75000000000003</v>
      </c>
      <c r="M301" s="32">
        <v>6216.7943999999989</v>
      </c>
      <c r="N301" s="32">
        <v>11013.683199999999</v>
      </c>
      <c r="O301" s="32">
        <v>0</v>
      </c>
      <c r="P301" s="81">
        <v>0</v>
      </c>
      <c r="Q301" s="10">
        <f t="shared" si="58"/>
        <v>17230.477599999998</v>
      </c>
      <c r="R301" s="33">
        <f t="shared" si="57"/>
        <v>1.276331674074074</v>
      </c>
      <c r="S301" s="33" t="str">
        <f t="shared" si="49"/>
        <v>GANA</v>
      </c>
      <c r="T301" s="33" t="str">
        <f>VLOOKUP(B301,'CUOTA TOTAL'!$B$4:$F$72,5,FALSE)</f>
        <v>GANA</v>
      </c>
      <c r="U301" s="31">
        <f t="shared" si="56"/>
        <v>258.45716399999998</v>
      </c>
      <c r="V301" s="31">
        <f t="shared" si="48"/>
        <v>222.75000000000003</v>
      </c>
    </row>
    <row r="302" spans="1:22" ht="15" customHeight="1">
      <c r="A302" s="7" t="s">
        <v>49</v>
      </c>
      <c r="B302" s="51" t="s">
        <v>51</v>
      </c>
      <c r="C302" s="9" t="s">
        <v>163</v>
      </c>
      <c r="D302" s="8" t="s">
        <v>197</v>
      </c>
      <c r="E302" s="8" t="str">
        <f t="shared" si="54"/>
        <v>ALVARADO ORELLANA YADIRA EVELYNOTRAS CATEGORIAS</v>
      </c>
      <c r="F302" s="34">
        <v>60</v>
      </c>
      <c r="G302" s="34">
        <v>60</v>
      </c>
      <c r="H302" s="34">
        <v>60</v>
      </c>
      <c r="I302" s="34">
        <f t="shared" si="61"/>
        <v>180</v>
      </c>
      <c r="J302" s="69">
        <v>1.4999999999999999E-2</v>
      </c>
      <c r="K302" s="30">
        <f t="shared" si="59"/>
        <v>2.6999999999999997</v>
      </c>
      <c r="L302" s="31">
        <f t="shared" si="60"/>
        <v>2.97</v>
      </c>
      <c r="M302" s="32">
        <v>0</v>
      </c>
      <c r="N302" s="32">
        <v>0</v>
      </c>
      <c r="O302" s="32">
        <v>0</v>
      </c>
      <c r="P302" s="81">
        <v>0</v>
      </c>
      <c r="Q302" s="10">
        <f t="shared" si="58"/>
        <v>0</v>
      </c>
      <c r="R302" s="33">
        <f t="shared" si="57"/>
        <v>0</v>
      </c>
      <c r="S302" s="33" t="str">
        <f t="shared" si="49"/>
        <v>NO GANA</v>
      </c>
      <c r="T302" s="33" t="str">
        <f>VLOOKUP(B302,'CUOTA TOTAL'!$B$4:$F$72,5,FALSE)</f>
        <v>GANA</v>
      </c>
      <c r="U302" s="31">
        <f t="shared" si="56"/>
        <v>0</v>
      </c>
      <c r="V302" s="31">
        <f t="shared" si="48"/>
        <v>0</v>
      </c>
    </row>
    <row r="303" spans="1:22" ht="15" customHeight="1">
      <c r="A303" s="7" t="s">
        <v>5</v>
      </c>
      <c r="B303" s="51" t="s">
        <v>14</v>
      </c>
      <c r="C303" s="9" t="s">
        <v>163</v>
      </c>
      <c r="D303" s="8" t="s">
        <v>165</v>
      </c>
      <c r="E303" s="8" t="str">
        <f t="shared" si="54"/>
        <v>GLORIA DEL CARMEN FALLU VERABARRA</v>
      </c>
      <c r="F303" s="34">
        <v>679</v>
      </c>
      <c r="G303" s="34">
        <v>679</v>
      </c>
      <c r="H303" s="34">
        <v>679</v>
      </c>
      <c r="I303" s="34">
        <f t="shared" si="61"/>
        <v>2037</v>
      </c>
      <c r="J303" s="29">
        <v>1.4999999999999999E-2</v>
      </c>
      <c r="K303" s="30">
        <f t="shared" si="59"/>
        <v>30.555</v>
      </c>
      <c r="L303" s="31">
        <f t="shared" si="60"/>
        <v>33.610500000000002</v>
      </c>
      <c r="M303" s="32">
        <v>1095.2239999999999</v>
      </c>
      <c r="N303" s="32">
        <v>213.648</v>
      </c>
      <c r="O303" s="32">
        <v>374.4</v>
      </c>
      <c r="P303" s="83">
        <v>0</v>
      </c>
      <c r="Q303" s="10">
        <f t="shared" si="58"/>
        <v>1683.2719999999999</v>
      </c>
      <c r="R303" s="33">
        <f t="shared" si="57"/>
        <v>0.82634855179185074</v>
      </c>
      <c r="S303" s="33" t="str">
        <f t="shared" si="49"/>
        <v>GANA</v>
      </c>
      <c r="T303" s="33" t="str">
        <f>VLOOKUP(B303,'CUOTA TOTAL'!$B$4:$F$72,5,FALSE)</f>
        <v>GANA</v>
      </c>
      <c r="U303" s="31">
        <f t="shared" si="56"/>
        <v>25.249079999999999</v>
      </c>
      <c r="V303" s="31">
        <f t="shared" si="48"/>
        <v>25.249079999999999</v>
      </c>
    </row>
    <row r="304" spans="1:22" ht="15" customHeight="1">
      <c r="A304" s="7" t="s">
        <v>5</v>
      </c>
      <c r="B304" s="51" t="s">
        <v>14</v>
      </c>
      <c r="C304" s="9" t="s">
        <v>163</v>
      </c>
      <c r="D304" s="8" t="s">
        <v>193</v>
      </c>
      <c r="E304" s="8" t="str">
        <f t="shared" si="54"/>
        <v>GLORIA DEL CARMEN FALLU VERACREMA</v>
      </c>
      <c r="F304" s="34">
        <v>750</v>
      </c>
      <c r="G304" s="34">
        <v>750</v>
      </c>
      <c r="H304" s="34">
        <v>750</v>
      </c>
      <c r="I304" s="34">
        <f t="shared" si="61"/>
        <v>2250</v>
      </c>
      <c r="J304" s="29">
        <v>3.5000000000000003E-2</v>
      </c>
      <c r="K304" s="30">
        <f t="shared" si="59"/>
        <v>78.750000000000014</v>
      </c>
      <c r="L304" s="31">
        <f t="shared" si="60"/>
        <v>86.625000000000014</v>
      </c>
      <c r="M304" s="32">
        <v>1259.6063999999997</v>
      </c>
      <c r="N304" s="32">
        <v>1244.5008</v>
      </c>
      <c r="O304" s="32">
        <v>699.83680000000015</v>
      </c>
      <c r="P304" s="83">
        <v>0</v>
      </c>
      <c r="Q304" s="10">
        <f t="shared" si="58"/>
        <v>3203.9439999999995</v>
      </c>
      <c r="R304" s="33">
        <f t="shared" si="57"/>
        <v>1.423975111111111</v>
      </c>
      <c r="S304" s="33" t="str">
        <f t="shared" si="49"/>
        <v>GANA</v>
      </c>
      <c r="T304" s="33" t="str">
        <f>VLOOKUP(B304,'CUOTA TOTAL'!$B$4:$F$72,5,FALSE)</f>
        <v>GANA</v>
      </c>
      <c r="U304" s="31">
        <f t="shared" si="56"/>
        <v>112.13803999999999</v>
      </c>
      <c r="V304" s="31">
        <f t="shared" si="48"/>
        <v>86.625000000000014</v>
      </c>
    </row>
    <row r="305" spans="1:22" ht="15" customHeight="1">
      <c r="A305" s="7" t="s">
        <v>5</v>
      </c>
      <c r="B305" s="51" t="s">
        <v>14</v>
      </c>
      <c r="C305" s="9" t="s">
        <v>163</v>
      </c>
      <c r="D305" s="8" t="s">
        <v>194</v>
      </c>
      <c r="E305" s="8" t="str">
        <f t="shared" si="54"/>
        <v>GLORIA DEL CARMEN FALLU VERALIQUIDO</v>
      </c>
      <c r="F305" s="34">
        <v>600</v>
      </c>
      <c r="G305" s="34">
        <v>600</v>
      </c>
      <c r="H305" s="34">
        <v>600</v>
      </c>
      <c r="I305" s="34">
        <f t="shared" si="61"/>
        <v>1800</v>
      </c>
      <c r="J305" s="29">
        <v>1.4999999999999999E-2</v>
      </c>
      <c r="K305" s="30">
        <f t="shared" si="59"/>
        <v>27</v>
      </c>
      <c r="L305" s="31">
        <f t="shared" si="60"/>
        <v>29.700000000000003</v>
      </c>
      <c r="M305" s="32">
        <v>503.92800000000005</v>
      </c>
      <c r="N305" s="32">
        <v>568.26</v>
      </c>
      <c r="O305" s="32">
        <v>34.886400000000002</v>
      </c>
      <c r="P305" s="83">
        <v>0</v>
      </c>
      <c r="Q305" s="10">
        <f t="shared" si="58"/>
        <v>1107.0744000000002</v>
      </c>
      <c r="R305" s="33">
        <f t="shared" si="57"/>
        <v>0.61504133333333344</v>
      </c>
      <c r="S305" s="33" t="str">
        <f t="shared" si="49"/>
        <v>NO GANA</v>
      </c>
      <c r="T305" s="33" t="str">
        <f>VLOOKUP(B305,'CUOTA TOTAL'!$B$4:$F$72,5,FALSE)</f>
        <v>GANA</v>
      </c>
      <c r="U305" s="31">
        <f t="shared" si="56"/>
        <v>0</v>
      </c>
      <c r="V305" s="31">
        <f t="shared" si="48"/>
        <v>0</v>
      </c>
    </row>
    <row r="306" spans="1:22" ht="15" customHeight="1">
      <c r="A306" s="7" t="s">
        <v>5</v>
      </c>
      <c r="B306" s="51" t="s">
        <v>14</v>
      </c>
      <c r="C306" s="9" t="s">
        <v>163</v>
      </c>
      <c r="D306" s="8" t="s">
        <v>196</v>
      </c>
      <c r="E306" s="8" t="str">
        <f t="shared" si="54"/>
        <v>GLORIA DEL CARMEN FALLU VERAPOLVO DETERGENTE</v>
      </c>
      <c r="F306" s="34">
        <v>2500</v>
      </c>
      <c r="G306" s="34">
        <v>2500</v>
      </c>
      <c r="H306" s="34">
        <v>2500</v>
      </c>
      <c r="I306" s="34">
        <f t="shared" si="61"/>
        <v>7500</v>
      </c>
      <c r="J306" s="29">
        <v>4.4999999999999998E-2</v>
      </c>
      <c r="K306" s="30">
        <f t="shared" si="59"/>
        <v>337.5</v>
      </c>
      <c r="L306" s="31">
        <f t="shared" si="60"/>
        <v>371.25</v>
      </c>
      <c r="M306" s="32">
        <v>2148.8960000000002</v>
      </c>
      <c r="N306" s="32">
        <v>2892.6815999999999</v>
      </c>
      <c r="O306" s="32">
        <v>3151.3343999999997</v>
      </c>
      <c r="P306" s="83">
        <v>0</v>
      </c>
      <c r="Q306" s="10">
        <f t="shared" si="58"/>
        <v>8192.9120000000003</v>
      </c>
      <c r="R306" s="33">
        <f t="shared" si="57"/>
        <v>1.0923882666666667</v>
      </c>
      <c r="S306" s="33" t="str">
        <f t="shared" si="49"/>
        <v>GANA</v>
      </c>
      <c r="T306" s="33" t="str">
        <f>VLOOKUP(B306,'CUOTA TOTAL'!$B$4:$F$72,5,FALSE)</f>
        <v>GANA</v>
      </c>
      <c r="U306" s="31">
        <f t="shared" si="56"/>
        <v>368.68104</v>
      </c>
      <c r="V306" s="31">
        <f t="shared" si="48"/>
        <v>368.68104</v>
      </c>
    </row>
    <row r="307" spans="1:22" ht="15" customHeight="1">
      <c r="A307" s="7" t="s">
        <v>5</v>
      </c>
      <c r="B307" s="51" t="s">
        <v>14</v>
      </c>
      <c r="C307" s="9" t="s">
        <v>163</v>
      </c>
      <c r="D307" s="8" t="s">
        <v>197</v>
      </c>
      <c r="E307" s="8" t="str">
        <f t="shared" si="54"/>
        <v>GLORIA DEL CARMEN FALLU VERAOTRAS CATEGORIAS</v>
      </c>
      <c r="F307" s="34">
        <v>20</v>
      </c>
      <c r="G307" s="34">
        <v>20</v>
      </c>
      <c r="H307" s="34">
        <v>20</v>
      </c>
      <c r="I307" s="34">
        <f t="shared" si="61"/>
        <v>60</v>
      </c>
      <c r="J307" s="29"/>
      <c r="K307" s="30">
        <f t="shared" si="59"/>
        <v>0</v>
      </c>
      <c r="L307" s="31">
        <f t="shared" si="60"/>
        <v>0</v>
      </c>
      <c r="M307" s="32">
        <v>0</v>
      </c>
      <c r="N307" s="32">
        <v>0</v>
      </c>
      <c r="O307" s="32">
        <v>0</v>
      </c>
      <c r="P307" s="83">
        <v>0</v>
      </c>
      <c r="Q307" s="10">
        <f t="shared" si="58"/>
        <v>0</v>
      </c>
      <c r="R307" s="33">
        <f t="shared" si="57"/>
        <v>0</v>
      </c>
      <c r="S307" s="33" t="str">
        <f t="shared" si="49"/>
        <v>NO GANA</v>
      </c>
      <c r="T307" s="33" t="str">
        <f>VLOOKUP(B307,'CUOTA TOTAL'!$B$4:$F$72,5,FALSE)</f>
        <v>GANA</v>
      </c>
      <c r="U307" s="31">
        <f t="shared" si="56"/>
        <v>0</v>
      </c>
      <c r="V307" s="31">
        <f t="shared" si="48"/>
        <v>0</v>
      </c>
    </row>
    <row r="308" spans="1:22" ht="15" customHeight="1">
      <c r="A308" s="7" t="s">
        <v>5</v>
      </c>
      <c r="B308" s="51" t="s">
        <v>113</v>
      </c>
      <c r="C308" s="9" t="s">
        <v>135</v>
      </c>
      <c r="D308" s="8" t="s">
        <v>165</v>
      </c>
      <c r="E308" s="8" t="str">
        <f t="shared" si="54"/>
        <v>GILER ZAMBRANO MARIA PAOLABARRA</v>
      </c>
      <c r="F308" s="34">
        <v>2397.34</v>
      </c>
      <c r="G308" s="34">
        <v>2397.34</v>
      </c>
      <c r="H308" s="34">
        <v>2397.34</v>
      </c>
      <c r="I308" s="34">
        <f t="shared" si="61"/>
        <v>7192.02</v>
      </c>
      <c r="J308" s="29">
        <v>1.4999999999999999E-2</v>
      </c>
      <c r="K308" s="30">
        <f t="shared" si="59"/>
        <v>107.88030000000001</v>
      </c>
      <c r="L308" s="31">
        <f t="shared" si="60"/>
        <v>118.66833000000003</v>
      </c>
      <c r="M308" s="32">
        <v>3496.424</v>
      </c>
      <c r="N308" s="32">
        <v>2450.5103999999997</v>
      </c>
      <c r="O308" s="32">
        <v>1436.5952000000002</v>
      </c>
      <c r="P308" s="83">
        <v>1927.53</v>
      </c>
      <c r="Q308" s="10">
        <f t="shared" si="58"/>
        <v>7383.5295999999998</v>
      </c>
      <c r="R308" s="33">
        <f t="shared" si="57"/>
        <v>1.0266280683312894</v>
      </c>
      <c r="S308" s="33" t="str">
        <f t="shared" si="49"/>
        <v>GANA</v>
      </c>
      <c r="T308" s="33" t="str">
        <f>VLOOKUP(B308,'CUOTA TOTAL'!$B$4:$F$72,5,FALSE)</f>
        <v>GANA</v>
      </c>
      <c r="U308" s="31">
        <f t="shared" si="56"/>
        <v>110.752944</v>
      </c>
      <c r="V308" s="31">
        <f t="shared" si="48"/>
        <v>110.752944</v>
      </c>
    </row>
    <row r="309" spans="1:22" ht="15" customHeight="1">
      <c r="A309" s="7" t="s">
        <v>5</v>
      </c>
      <c r="B309" s="51" t="s">
        <v>113</v>
      </c>
      <c r="C309" s="9" t="s">
        <v>135</v>
      </c>
      <c r="D309" s="8" t="s">
        <v>193</v>
      </c>
      <c r="E309" s="8" t="str">
        <f t="shared" si="54"/>
        <v>GILER ZAMBRANO MARIA PAOLACREMA</v>
      </c>
      <c r="F309" s="34">
        <v>3433</v>
      </c>
      <c r="G309" s="34">
        <v>3433</v>
      </c>
      <c r="H309" s="34">
        <v>3433</v>
      </c>
      <c r="I309" s="34">
        <f t="shared" si="61"/>
        <v>10299</v>
      </c>
      <c r="J309" s="29">
        <v>3.5000000000000003E-2</v>
      </c>
      <c r="K309" s="30">
        <f t="shared" si="59"/>
        <v>360.46500000000003</v>
      </c>
      <c r="L309" s="31">
        <f t="shared" si="60"/>
        <v>396.51150000000007</v>
      </c>
      <c r="M309" s="32">
        <v>3118.8047999999976</v>
      </c>
      <c r="N309" s="32">
        <v>4464.460799999998</v>
      </c>
      <c r="O309" s="32">
        <v>2806.1951999999987</v>
      </c>
      <c r="P309" s="83">
        <v>1927.53</v>
      </c>
      <c r="Q309" s="10">
        <f t="shared" si="58"/>
        <v>10389.460799999993</v>
      </c>
      <c r="R309" s="33">
        <f t="shared" si="57"/>
        <v>1.0087834547043395</v>
      </c>
      <c r="S309" s="33" t="str">
        <f t="shared" si="49"/>
        <v>GANA</v>
      </c>
      <c r="T309" s="33" t="str">
        <f>VLOOKUP(B309,'CUOTA TOTAL'!$B$4:$F$72,5,FALSE)</f>
        <v>GANA</v>
      </c>
      <c r="U309" s="31">
        <f t="shared" si="56"/>
        <v>363.63112799999982</v>
      </c>
      <c r="V309" s="31">
        <f t="shared" si="48"/>
        <v>363.63112799999982</v>
      </c>
    </row>
    <row r="310" spans="1:22" ht="15" customHeight="1">
      <c r="A310" s="7" t="s">
        <v>5</v>
      </c>
      <c r="B310" s="51" t="s">
        <v>113</v>
      </c>
      <c r="C310" s="9" t="s">
        <v>135</v>
      </c>
      <c r="D310" s="8" t="s">
        <v>194</v>
      </c>
      <c r="E310" s="8" t="str">
        <f t="shared" si="54"/>
        <v>GILER ZAMBRANO MARIA PAOLALIQUIDO</v>
      </c>
      <c r="F310" s="34">
        <v>800</v>
      </c>
      <c r="G310" s="34">
        <v>800</v>
      </c>
      <c r="H310" s="34">
        <v>800</v>
      </c>
      <c r="I310" s="34">
        <f t="shared" si="61"/>
        <v>2400</v>
      </c>
      <c r="J310" s="29">
        <v>1.4999999999999999E-2</v>
      </c>
      <c r="K310" s="30">
        <f t="shared" si="59"/>
        <v>36</v>
      </c>
      <c r="L310" s="31">
        <f t="shared" si="60"/>
        <v>39.6</v>
      </c>
      <c r="M310" s="32">
        <v>1229.2528</v>
      </c>
      <c r="N310" s="32">
        <v>587.45760000000018</v>
      </c>
      <c r="O310" s="32">
        <v>1293.6095999999998</v>
      </c>
      <c r="P310" s="83">
        <v>1927.53</v>
      </c>
      <c r="Q310" s="10">
        <f t="shared" si="58"/>
        <v>3110.3199999999997</v>
      </c>
      <c r="R310" s="33">
        <f t="shared" si="57"/>
        <v>1.2959666666666665</v>
      </c>
      <c r="S310" s="33" t="str">
        <f t="shared" si="49"/>
        <v>GANA</v>
      </c>
      <c r="T310" s="33" t="str">
        <f>VLOOKUP(B310,'CUOTA TOTAL'!$B$4:$F$72,5,FALSE)</f>
        <v>GANA</v>
      </c>
      <c r="U310" s="31">
        <f t="shared" si="56"/>
        <v>46.654799999999994</v>
      </c>
      <c r="V310" s="31">
        <f t="shared" si="48"/>
        <v>39.6</v>
      </c>
    </row>
    <row r="311" spans="1:22" ht="15" customHeight="1">
      <c r="A311" s="7" t="s">
        <v>5</v>
      </c>
      <c r="B311" s="51" t="s">
        <v>113</v>
      </c>
      <c r="C311" s="9" t="s">
        <v>135</v>
      </c>
      <c r="D311" s="8" t="s">
        <v>196</v>
      </c>
      <c r="E311" s="8" t="str">
        <f t="shared" si="54"/>
        <v>GILER ZAMBRANO MARIA PAOLAPOLVO DETERGENTE</v>
      </c>
      <c r="F311" s="34">
        <v>6804</v>
      </c>
      <c r="G311" s="34">
        <v>6804</v>
      </c>
      <c r="H311" s="34">
        <v>6804</v>
      </c>
      <c r="I311" s="34">
        <f t="shared" si="61"/>
        <v>20412</v>
      </c>
      <c r="J311" s="29">
        <v>4.4999999999999998E-2</v>
      </c>
      <c r="K311" s="30">
        <f t="shared" si="59"/>
        <v>918.54</v>
      </c>
      <c r="L311" s="31">
        <f t="shared" si="60"/>
        <v>1010.394</v>
      </c>
      <c r="M311" s="32">
        <v>6981.6640000000007</v>
      </c>
      <c r="N311" s="32">
        <v>8493.52</v>
      </c>
      <c r="O311" s="32">
        <v>5516.7072000000007</v>
      </c>
      <c r="P311" s="83">
        <v>1927.53</v>
      </c>
      <c r="Q311" s="10">
        <f t="shared" si="58"/>
        <v>20991.891200000002</v>
      </c>
      <c r="R311" s="33">
        <f t="shared" si="57"/>
        <v>1.0284093278463651</v>
      </c>
      <c r="S311" s="33" t="str">
        <f t="shared" si="49"/>
        <v>GANA</v>
      </c>
      <c r="T311" s="33" t="str">
        <f>VLOOKUP(B311,'CUOTA TOTAL'!$B$4:$F$72,5,FALSE)</f>
        <v>GANA</v>
      </c>
      <c r="U311" s="31">
        <f t="shared" si="56"/>
        <v>944.63510400000007</v>
      </c>
      <c r="V311" s="31">
        <f t="shared" si="48"/>
        <v>944.63510400000007</v>
      </c>
    </row>
    <row r="312" spans="1:22" ht="15" customHeight="1">
      <c r="A312" s="7" t="s">
        <v>5</v>
      </c>
      <c r="B312" s="51" t="s">
        <v>113</v>
      </c>
      <c r="C312" s="9" t="s">
        <v>135</v>
      </c>
      <c r="D312" s="8" t="s">
        <v>197</v>
      </c>
      <c r="E312" s="8" t="str">
        <f t="shared" si="54"/>
        <v>GILER ZAMBRANO MARIA PAOLAOTRAS CATEGORIAS</v>
      </c>
      <c r="F312" s="34">
        <v>30</v>
      </c>
      <c r="G312" s="34">
        <v>30</v>
      </c>
      <c r="H312" s="34">
        <v>30</v>
      </c>
      <c r="I312" s="34">
        <f t="shared" si="61"/>
        <v>90</v>
      </c>
      <c r="J312" s="29"/>
      <c r="K312" s="30">
        <f t="shared" si="59"/>
        <v>0</v>
      </c>
      <c r="L312" s="31">
        <f t="shared" si="60"/>
        <v>0</v>
      </c>
      <c r="M312" s="32">
        <v>0</v>
      </c>
      <c r="N312" s="32">
        <v>0</v>
      </c>
      <c r="O312" s="32">
        <v>0</v>
      </c>
      <c r="P312" s="83">
        <v>1927.53</v>
      </c>
      <c r="Q312" s="10">
        <f t="shared" si="58"/>
        <v>0</v>
      </c>
      <c r="R312" s="33">
        <f t="shared" si="57"/>
        <v>0</v>
      </c>
      <c r="S312" s="33" t="str">
        <f t="shared" si="49"/>
        <v>NO GANA</v>
      </c>
      <c r="T312" s="33" t="str">
        <f>VLOOKUP(B312,'CUOTA TOTAL'!$B$4:$F$72,5,FALSE)</f>
        <v>GANA</v>
      </c>
      <c r="U312" s="31">
        <f t="shared" si="56"/>
        <v>0</v>
      </c>
      <c r="V312" s="31">
        <f t="shared" si="48"/>
        <v>0</v>
      </c>
    </row>
    <row r="313" spans="1:22" ht="15" customHeight="1">
      <c r="A313" s="94" t="s">
        <v>4</v>
      </c>
      <c r="B313" s="94"/>
      <c r="C313" s="94"/>
      <c r="D313" s="95"/>
      <c r="E313" s="42"/>
      <c r="F313" s="43">
        <f>SUBTOTAL(9,F3:F312)</f>
        <v>700081.38067199988</v>
      </c>
      <c r="G313" s="43">
        <f>SUBTOTAL(9,G3:G312)</f>
        <v>700081.38067199988</v>
      </c>
      <c r="H313" s="43">
        <f>SUBTOTAL(9,H3:H312)</f>
        <v>700088.38067199988</v>
      </c>
      <c r="I313" s="71">
        <f>SUBTOTAL(9,I3:I312)</f>
        <v>2100251.1420160001</v>
      </c>
      <c r="J313" s="68">
        <f>SUBTOTAL(9,J3:J312)</f>
        <v>6.2809999999999873</v>
      </c>
      <c r="K313" s="43">
        <f>SUBTOTAL(9,K3:K303)</f>
        <v>62500.772630240019</v>
      </c>
      <c r="L313" s="44">
        <f>SUBTOTAL(9,L3:L303)</f>
        <v>68750.849893263978</v>
      </c>
      <c r="M313" s="44">
        <f>SUBTOTAL(9,M3:M312)</f>
        <v>646036.58689999965</v>
      </c>
      <c r="N313" s="44">
        <f>SUBTOTAL(9,N3:N312)</f>
        <v>700392.34529999993</v>
      </c>
      <c r="O313" s="44">
        <f>SUBTOTAL(9,O3:O312)</f>
        <v>595331.70359999978</v>
      </c>
      <c r="P313" s="84"/>
      <c r="Q313" s="45">
        <f>SUBTOTAL(9,Q3:Q307)</f>
        <v>1899885.4342</v>
      </c>
      <c r="R313" s="46">
        <f>+Q313/I313</f>
        <v>0.90459916730545276</v>
      </c>
      <c r="S313" s="42"/>
      <c r="T313" s="42"/>
      <c r="U313" s="44">
        <f>SUBTOTAL(9,U3:U312)</f>
        <v>43475.153812700017</v>
      </c>
      <c r="V313" s="44">
        <f>SUBTOTAL(9,V3:V302)</f>
        <v>38218.631697263998</v>
      </c>
    </row>
    <row r="314" spans="1:22" ht="15" customHeight="1">
      <c r="Q314" s="49"/>
    </row>
    <row r="315" spans="1:22" ht="15" customHeight="1">
      <c r="P315" s="50"/>
    </row>
    <row r="316" spans="1:22" ht="15" customHeight="1">
      <c r="P316" s="50"/>
    </row>
    <row r="317" spans="1:22" ht="15" customHeight="1">
      <c r="D317"/>
      <c r="G317" s="48"/>
      <c r="P317" s="50"/>
    </row>
    <row r="318" spans="1:22" ht="15" customHeight="1">
      <c r="P318" s="50"/>
    </row>
    <row r="319" spans="1:22" ht="15" customHeight="1">
      <c r="H319" s="61"/>
      <c r="P319" s="50"/>
    </row>
    <row r="320" spans="1:22" ht="15" customHeight="1">
      <c r="F320" s="48"/>
      <c r="G320" s="48"/>
      <c r="P320" s="50"/>
    </row>
    <row r="321" spans="6:16" ht="15" customHeight="1">
      <c r="F321" s="60"/>
      <c r="P321" s="50"/>
    </row>
    <row r="322" spans="6:16" ht="15" customHeight="1">
      <c r="P322" s="50"/>
    </row>
    <row r="323" spans="6:16" ht="15" customHeight="1">
      <c r="P323" s="50"/>
    </row>
    <row r="324" spans="6:16" ht="15" customHeight="1">
      <c r="P324" s="50"/>
    </row>
    <row r="325" spans="6:16" ht="15" customHeight="1">
      <c r="P325" s="50"/>
    </row>
    <row r="326" spans="6:16" ht="15" customHeight="1">
      <c r="P326" s="50"/>
    </row>
    <row r="327" spans="6:16" ht="15" customHeight="1">
      <c r="P327" s="50"/>
    </row>
    <row r="328" spans="6:16" ht="15" customHeight="1">
      <c r="P328" s="50"/>
    </row>
    <row r="329" spans="6:16" ht="15" customHeight="1">
      <c r="P329" s="50"/>
    </row>
  </sheetData>
  <autoFilter ref="A2:Z312" xr:uid="{DF7DA677-68AC-4D01-A5AC-F0BB53EE0181}"/>
  <mergeCells count="2">
    <mergeCell ref="M1:O1"/>
    <mergeCell ref="A313:D313"/>
  </mergeCells>
  <phoneticPr fontId="14" type="noConversion"/>
  <dataValidations count="1">
    <dataValidation type="list" allowBlank="1" showInputMessage="1" showErrorMessage="1" sqref="C253:C257 C93:C177" xr:uid="{BE86868F-360E-4EF3-A6E7-154D7FDFEC39}">
      <formula1>"ATT,MH"</formula1>
    </dataValidation>
  </dataValidations>
  <pageMargins left="0.7" right="0.7" top="0.75" bottom="0.75" header="0.3" footer="0.3"/>
  <pageSetup orientation="portrait" horizontalDpi="4294967293" verticalDpi="4294967293" r:id="rId1"/>
  <ignoredErrors>
    <ignoredError sqref="Q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Mishell Guamán</dc:creator>
  <cp:keywords/>
  <dc:description/>
  <cp:lastModifiedBy/>
  <cp:revision/>
  <dcterms:created xsi:type="dcterms:W3CDTF">2025-12-29T14:18:38Z</dcterms:created>
  <dcterms:modified xsi:type="dcterms:W3CDTF">2026-07-17T20:08:23Z</dcterms:modified>
  <cp:category/>
  <cp:contentStatus/>
</cp:coreProperties>
</file>